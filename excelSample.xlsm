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BBSFormat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Codes\Buniyadbyte\BBS\EXCELVBA_placeshapeformcode\"/>
    </mc:Choice>
  </mc:AlternateContent>
  <xr:revisionPtr revIDLastSave="0" documentId="13_ncr:1_{4EAE34F7-0114-4224-87E8-B33B4991561D}" xr6:coauthVersionLast="47" xr6:coauthVersionMax="47" xr10:uidLastSave="{00000000-0000-0000-0000-000000000000}"/>
  <bookViews>
    <workbookView xWindow="-108" yWindow="-108" windowWidth="23256" windowHeight="12456" tabRatio="750" firstSheet="2" activeTab="2" xr2:uid="{00000000-000D-0000-FFFF-FFFF00000000}"/>
  </bookViews>
  <sheets>
    <sheet name="Top Bars" sheetId="70" state="hidden" r:id="rId1"/>
    <sheet name="Bottom Extra Bars" sheetId="73" state="hidden" r:id="rId2"/>
    <sheet name="Raft" sheetId="76" r:id="rId3"/>
    <sheet name="ShapeLibrary" sheetId="71" r:id="rId4"/>
    <sheet name="Sheet()" sheetId="5" state="veryHidden" r:id="rId5"/>
  </sheets>
  <functionGroups builtInGroupCount="19"/>
  <definedNames>
    <definedName name="_xlnm._FilterDatabase" localSheetId="2" hidden="1">Raft!$A$6:$AU$6</definedName>
    <definedName name="_xlnm.Print_Area" localSheetId="2">Raft!$A$1:$AJ$70</definedName>
    <definedName name="_xlnm.Print_Area" localSheetId="4">'Sheet()'!$V$1:$AE$20,'Sheet()'!$A:$T</definedName>
    <definedName name="_xlnm.Print_Titles" localSheetId="2">Raft!$6:$6</definedName>
    <definedName name="_xlnm.Print_Titles" localSheetId="4">'Sheet()'!$1:$2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46" i="76" l="1"/>
  <c r="O46" i="76"/>
  <c r="M46" i="76"/>
  <c r="J46" i="76"/>
  <c r="K46" i="76" s="1"/>
  <c r="N32" i="76"/>
  <c r="N31" i="76"/>
  <c r="N30" i="76"/>
  <c r="N29" i="76"/>
  <c r="N28" i="76"/>
  <c r="N27" i="76"/>
  <c r="N45" i="76"/>
  <c r="N44" i="76"/>
  <c r="AJ45" i="76"/>
  <c r="AI45" i="76"/>
  <c r="AH45" i="76"/>
  <c r="AE45" i="76"/>
  <c r="AD45" i="76"/>
  <c r="AC45" i="76"/>
  <c r="Z45" i="76"/>
  <c r="V45" i="76"/>
  <c r="E45" i="76"/>
  <c r="D45" i="76"/>
  <c r="AJ44" i="76"/>
  <c r="AI44" i="76"/>
  <c r="AH44" i="76"/>
  <c r="AE44" i="76"/>
  <c r="AD44" i="76"/>
  <c r="AC44" i="76"/>
  <c r="Z44" i="76"/>
  <c r="E44" i="76"/>
  <c r="D44" i="76"/>
  <c r="J44" i="76" s="1"/>
  <c r="K44" i="76" s="1"/>
  <c r="N43" i="76"/>
  <c r="N42" i="76"/>
  <c r="D43" i="76"/>
  <c r="E43" i="76"/>
  <c r="E42" i="76"/>
  <c r="D42" i="76"/>
  <c r="J42" i="76" s="1"/>
  <c r="K42" i="76" s="1"/>
  <c r="J43" i="76" l="1"/>
  <c r="K43" i="76" s="1"/>
  <c r="J45" i="76"/>
  <c r="K45" i="76" s="1"/>
  <c r="AF45" i="76"/>
  <c r="V44" i="76"/>
  <c r="AF44" i="76" s="1"/>
  <c r="AB44" i="76"/>
  <c r="AG44" i="76"/>
  <c r="AG45" i="76"/>
  <c r="AB45" i="76"/>
  <c r="AC42" i="76"/>
  <c r="AD42" i="76"/>
  <c r="AE42" i="76"/>
  <c r="AF42" i="76"/>
  <c r="AH42" i="76"/>
  <c r="AI42" i="76"/>
  <c r="AJ42" i="76"/>
  <c r="AC43" i="76"/>
  <c r="AD43" i="76"/>
  <c r="AE43" i="76"/>
  <c r="AF43" i="76"/>
  <c r="AH43" i="76"/>
  <c r="AI43" i="76"/>
  <c r="AJ43" i="76"/>
  <c r="AC46" i="76"/>
  <c r="AD46" i="76"/>
  <c r="AF46" i="76"/>
  <c r="AG46" i="76"/>
  <c r="AH46" i="76"/>
  <c r="AI46" i="76"/>
  <c r="AJ46" i="76"/>
  <c r="AB47" i="76"/>
  <c r="AC47" i="76"/>
  <c r="AD47" i="76"/>
  <c r="AE47" i="76"/>
  <c r="AF47" i="76"/>
  <c r="AG47" i="76"/>
  <c r="AH47" i="76"/>
  <c r="AI47" i="76"/>
  <c r="AJ47" i="76"/>
  <c r="AB48" i="76"/>
  <c r="AC48" i="76"/>
  <c r="AD48" i="76"/>
  <c r="AE48" i="76"/>
  <c r="AF48" i="76"/>
  <c r="AG48" i="76"/>
  <c r="AH48" i="76"/>
  <c r="AI48" i="76"/>
  <c r="AJ48" i="76"/>
  <c r="AB49" i="76"/>
  <c r="AC49" i="76"/>
  <c r="AD49" i="76"/>
  <c r="AE49" i="76"/>
  <c r="AF49" i="76"/>
  <c r="AG49" i="76"/>
  <c r="AH49" i="76"/>
  <c r="AI49" i="76"/>
  <c r="AJ49" i="76"/>
  <c r="AB50" i="76"/>
  <c r="AC50" i="76"/>
  <c r="AD50" i="76"/>
  <c r="AE50" i="76"/>
  <c r="AF50" i="76"/>
  <c r="AG50" i="76"/>
  <c r="AH50" i="76"/>
  <c r="AI50" i="76"/>
  <c r="AJ50" i="76"/>
  <c r="AB51" i="76"/>
  <c r="AC51" i="76"/>
  <c r="AD51" i="76"/>
  <c r="AE51" i="76"/>
  <c r="AF51" i="76"/>
  <c r="AG51" i="76"/>
  <c r="AH51" i="76"/>
  <c r="AI51" i="76"/>
  <c r="AJ51" i="76"/>
  <c r="AB52" i="76"/>
  <c r="AC52" i="76"/>
  <c r="AD52" i="76"/>
  <c r="AE52" i="76"/>
  <c r="AF52" i="76"/>
  <c r="AG52" i="76"/>
  <c r="AH52" i="76"/>
  <c r="AI52" i="76"/>
  <c r="AJ52" i="76"/>
  <c r="AB53" i="76"/>
  <c r="AC53" i="76"/>
  <c r="AD53" i="76"/>
  <c r="AE53" i="76"/>
  <c r="AF53" i="76"/>
  <c r="AG53" i="76"/>
  <c r="AH53" i="76"/>
  <c r="AI53" i="76"/>
  <c r="AJ53" i="76"/>
  <c r="AB54" i="76"/>
  <c r="AC54" i="76"/>
  <c r="AD54" i="76"/>
  <c r="AE54" i="76"/>
  <c r="AF54" i="76"/>
  <c r="AG54" i="76"/>
  <c r="AH54" i="76"/>
  <c r="AI54" i="76"/>
  <c r="AJ54" i="76"/>
  <c r="AB55" i="76"/>
  <c r="AC55" i="76"/>
  <c r="AD55" i="76"/>
  <c r="AE55" i="76"/>
  <c r="AF55" i="76"/>
  <c r="AG55" i="76"/>
  <c r="AH55" i="76"/>
  <c r="AI55" i="76"/>
  <c r="AJ55" i="76"/>
  <c r="AB56" i="76"/>
  <c r="AC56" i="76"/>
  <c r="AD56" i="76"/>
  <c r="AE56" i="76"/>
  <c r="AF56" i="76"/>
  <c r="AG56" i="76"/>
  <c r="AH56" i="76"/>
  <c r="AI56" i="76"/>
  <c r="AJ56" i="76"/>
  <c r="AB57" i="76"/>
  <c r="AC57" i="76"/>
  <c r="AD57" i="76"/>
  <c r="AE57" i="76"/>
  <c r="AF57" i="76"/>
  <c r="AG57" i="76"/>
  <c r="AH57" i="76"/>
  <c r="AI57" i="76"/>
  <c r="AJ57" i="76"/>
  <c r="AB58" i="76"/>
  <c r="AC58" i="76"/>
  <c r="AD58" i="76"/>
  <c r="AE58" i="76"/>
  <c r="AF58" i="76"/>
  <c r="AG58" i="76"/>
  <c r="AH58" i="76"/>
  <c r="AI58" i="76"/>
  <c r="AJ58" i="76"/>
  <c r="AB59" i="76"/>
  <c r="AC59" i="76"/>
  <c r="AD59" i="76"/>
  <c r="AE59" i="76"/>
  <c r="AF59" i="76"/>
  <c r="AG59" i="76"/>
  <c r="AH59" i="76"/>
  <c r="AI59" i="76"/>
  <c r="AJ59" i="76"/>
  <c r="AB60" i="76"/>
  <c r="AC60" i="76"/>
  <c r="AD60" i="76"/>
  <c r="AE60" i="76"/>
  <c r="AF60" i="76"/>
  <c r="AG60" i="76"/>
  <c r="AH60" i="76"/>
  <c r="AI60" i="76"/>
  <c r="AJ60" i="76"/>
  <c r="AB61" i="76"/>
  <c r="AC61" i="76"/>
  <c r="AD61" i="76"/>
  <c r="AE61" i="76"/>
  <c r="AF61" i="76"/>
  <c r="AG61" i="76"/>
  <c r="AH61" i="76"/>
  <c r="AI61" i="76"/>
  <c r="AJ61" i="76"/>
  <c r="AB62" i="76"/>
  <c r="AC62" i="76"/>
  <c r="AD62" i="76"/>
  <c r="AE62" i="76"/>
  <c r="AF62" i="76"/>
  <c r="AG62" i="76"/>
  <c r="AH62" i="76"/>
  <c r="AI62" i="76"/>
  <c r="AJ62" i="76"/>
  <c r="AB63" i="76"/>
  <c r="AC63" i="76"/>
  <c r="AD63" i="76"/>
  <c r="AE63" i="76"/>
  <c r="AF63" i="76"/>
  <c r="AG63" i="76"/>
  <c r="AH63" i="76"/>
  <c r="AI63" i="76"/>
  <c r="AJ63" i="76"/>
  <c r="AB64" i="76"/>
  <c r="AC64" i="76"/>
  <c r="AD64" i="76"/>
  <c r="AE64" i="76"/>
  <c r="AF64" i="76"/>
  <c r="AG64" i="76"/>
  <c r="AH64" i="76"/>
  <c r="AI64" i="76"/>
  <c r="AJ64" i="76"/>
  <c r="Z42" i="76"/>
  <c r="V42" i="76" s="1"/>
  <c r="AB42" i="76" s="1"/>
  <c r="Z43" i="76"/>
  <c r="V43" i="76" s="1"/>
  <c r="AG43" i="76" s="1"/>
  <c r="Z46" i="76"/>
  <c r="V46" i="76" s="1"/>
  <c r="Z47" i="76"/>
  <c r="V47" i="76" s="1"/>
  <c r="Z48" i="76"/>
  <c r="V48" i="76" s="1"/>
  <c r="Z49" i="76"/>
  <c r="V49" i="76" s="1"/>
  <c r="Z50" i="76"/>
  <c r="V50" i="76" s="1"/>
  <c r="Z51" i="76"/>
  <c r="V51" i="76" s="1"/>
  <c r="Z52" i="76"/>
  <c r="V52" i="76" s="1"/>
  <c r="Z53" i="76"/>
  <c r="Z54" i="76"/>
  <c r="V54" i="76" s="1"/>
  <c r="Z55" i="76"/>
  <c r="V55" i="76" s="1"/>
  <c r="Z56" i="76"/>
  <c r="Z57" i="76"/>
  <c r="V57" i="76" s="1"/>
  <c r="Z58" i="76"/>
  <c r="V58" i="76" s="1"/>
  <c r="Z59" i="76"/>
  <c r="V59" i="76" s="1"/>
  <c r="Z60" i="76"/>
  <c r="V60" i="76" s="1"/>
  <c r="Z61" i="76"/>
  <c r="Z62" i="76"/>
  <c r="V62" i="76" s="1"/>
  <c r="Z63" i="76"/>
  <c r="V63" i="76" s="1"/>
  <c r="Z64" i="76"/>
  <c r="V64" i="76" s="1"/>
  <c r="V53" i="76"/>
  <c r="V56" i="76"/>
  <c r="V61" i="76"/>
  <c r="O41" i="76"/>
  <c r="M41" i="76"/>
  <c r="AJ41" i="76"/>
  <c r="AI41" i="76"/>
  <c r="AH41" i="76"/>
  <c r="AG41" i="76"/>
  <c r="AF41" i="76"/>
  <c r="AE41" i="76"/>
  <c r="AC41" i="76"/>
  <c r="Z41" i="76"/>
  <c r="R41" i="76"/>
  <c r="Q41" i="76"/>
  <c r="P41" i="76"/>
  <c r="N41" i="76"/>
  <c r="J41" i="76"/>
  <c r="K41" i="76"/>
  <c r="AJ40" i="76"/>
  <c r="AI40" i="76"/>
  <c r="AH40" i="76"/>
  <c r="AF40" i="76"/>
  <c r="AE40" i="76"/>
  <c r="AD40" i="76"/>
  <c r="AC40" i="76"/>
  <c r="Z40" i="76"/>
  <c r="N40" i="76"/>
  <c r="K40" i="76"/>
  <c r="AJ39" i="76"/>
  <c r="AI39" i="76"/>
  <c r="AH39" i="76"/>
  <c r="AF39" i="76"/>
  <c r="AE39" i="76"/>
  <c r="AD39" i="76"/>
  <c r="AC39" i="76"/>
  <c r="Z39" i="76"/>
  <c r="N39" i="76"/>
  <c r="K39" i="76"/>
  <c r="P38" i="76"/>
  <c r="O38" i="76"/>
  <c r="M38" i="76"/>
  <c r="I38" i="76"/>
  <c r="AJ38" i="76"/>
  <c r="AI38" i="76"/>
  <c r="AH38" i="76"/>
  <c r="AG38" i="76"/>
  <c r="AF38" i="76"/>
  <c r="AE38" i="76"/>
  <c r="AC38" i="76"/>
  <c r="Z38" i="76"/>
  <c r="R38" i="76"/>
  <c r="Q38" i="76"/>
  <c r="N38" i="76"/>
  <c r="J38" i="76"/>
  <c r="N37" i="76"/>
  <c r="N36" i="76"/>
  <c r="AJ37" i="76"/>
  <c r="AI37" i="76"/>
  <c r="AH37" i="76"/>
  <c r="AF37" i="76"/>
  <c r="AE37" i="76"/>
  <c r="AC37" i="76"/>
  <c r="Z37" i="76"/>
  <c r="V37" i="76" s="1"/>
  <c r="K37" i="76"/>
  <c r="AJ36" i="76"/>
  <c r="AI36" i="76"/>
  <c r="AH36" i="76"/>
  <c r="AF36" i="76"/>
  <c r="AE36" i="76"/>
  <c r="AC36" i="76"/>
  <c r="Z36" i="76"/>
  <c r="K36" i="76"/>
  <c r="V40" i="76" l="1"/>
  <c r="AB46" i="76"/>
  <c r="AE46" i="76"/>
  <c r="AB43" i="76"/>
  <c r="AG42" i="76"/>
  <c r="V38" i="76"/>
  <c r="V39" i="76"/>
  <c r="AG39" i="76" s="1"/>
  <c r="AG37" i="76"/>
  <c r="V41" i="76"/>
  <c r="AB41" i="76" s="1"/>
  <c r="AG40" i="76"/>
  <c r="AB40" i="76"/>
  <c r="K38" i="76"/>
  <c r="V36" i="76"/>
  <c r="AG36" i="76" s="1"/>
  <c r="AD37" i="76"/>
  <c r="AD36" i="76"/>
  <c r="AB37" i="76"/>
  <c r="I34" i="76"/>
  <c r="AJ35" i="76"/>
  <c r="AI35" i="76"/>
  <c r="AH35" i="76"/>
  <c r="AG35" i="76"/>
  <c r="AF35" i="76"/>
  <c r="AE35" i="76"/>
  <c r="AC35" i="76"/>
  <c r="Z35" i="76"/>
  <c r="R35" i="76"/>
  <c r="Q35" i="76"/>
  <c r="P35" i="76"/>
  <c r="O35" i="76"/>
  <c r="N35" i="76"/>
  <c r="M35" i="76"/>
  <c r="J35" i="76"/>
  <c r="K35" i="76" s="1"/>
  <c r="AJ34" i="76"/>
  <c r="AI34" i="76"/>
  <c r="AH34" i="76"/>
  <c r="AG34" i="76"/>
  <c r="AF34" i="76"/>
  <c r="AE34" i="76"/>
  <c r="AC34" i="76"/>
  <c r="Z34" i="76"/>
  <c r="T34" i="76"/>
  <c r="S34" i="76"/>
  <c r="R34" i="76"/>
  <c r="Q34" i="76"/>
  <c r="P34" i="76"/>
  <c r="O34" i="76"/>
  <c r="N34" i="76"/>
  <c r="M34" i="76"/>
  <c r="J34" i="76"/>
  <c r="AJ33" i="76"/>
  <c r="AI33" i="76"/>
  <c r="AH33" i="76"/>
  <c r="AG33" i="76"/>
  <c r="AF33" i="76"/>
  <c r="AE33" i="76"/>
  <c r="AC33" i="76"/>
  <c r="Z33" i="76"/>
  <c r="R33" i="76"/>
  <c r="Q33" i="76"/>
  <c r="P33" i="76"/>
  <c r="O33" i="76"/>
  <c r="N33" i="76"/>
  <c r="M33" i="76"/>
  <c r="J33" i="76"/>
  <c r="K33" i="76" s="1"/>
  <c r="AJ32" i="76"/>
  <c r="AI32" i="76"/>
  <c r="AH32" i="76"/>
  <c r="AG32" i="76"/>
  <c r="AF32" i="76"/>
  <c r="AE32" i="76"/>
  <c r="AC32" i="76"/>
  <c r="Z32" i="76"/>
  <c r="V32" i="76" s="1"/>
  <c r="K32" i="76"/>
  <c r="AJ31" i="76"/>
  <c r="AI31" i="76"/>
  <c r="AH31" i="76"/>
  <c r="AG31" i="76"/>
  <c r="AF31" i="76"/>
  <c r="AE31" i="76"/>
  <c r="AC31" i="76"/>
  <c r="Z31" i="76"/>
  <c r="K31" i="76"/>
  <c r="AJ30" i="76"/>
  <c r="AI30" i="76"/>
  <c r="AH30" i="76"/>
  <c r="AG30" i="76"/>
  <c r="AF30" i="76"/>
  <c r="AE30" i="76"/>
  <c r="AC30" i="76"/>
  <c r="Z30" i="76"/>
  <c r="V30" i="76" s="1"/>
  <c r="K30" i="76"/>
  <c r="AJ29" i="76"/>
  <c r="AI29" i="76"/>
  <c r="AH29" i="76"/>
  <c r="AG29" i="76"/>
  <c r="AF29" i="76"/>
  <c r="AE29" i="76"/>
  <c r="AC29" i="76"/>
  <c r="Z29" i="76"/>
  <c r="V29" i="76" s="1"/>
  <c r="K29" i="76"/>
  <c r="AJ28" i="76"/>
  <c r="AI28" i="76"/>
  <c r="AH28" i="76"/>
  <c r="AG28" i="76"/>
  <c r="AF28" i="76"/>
  <c r="AE28" i="76"/>
  <c r="AC28" i="76"/>
  <c r="Z28" i="76"/>
  <c r="V28" i="76" s="1"/>
  <c r="K28" i="76"/>
  <c r="AJ27" i="76"/>
  <c r="AI27" i="76"/>
  <c r="AH27" i="76"/>
  <c r="AG27" i="76"/>
  <c r="AF27" i="76"/>
  <c r="AE27" i="76"/>
  <c r="AC27" i="76"/>
  <c r="Z27" i="76"/>
  <c r="K27" i="76"/>
  <c r="V35" i="76" l="1"/>
  <c r="K34" i="76"/>
  <c r="V33" i="76"/>
  <c r="AD33" i="76" s="1"/>
  <c r="AB38" i="76"/>
  <c r="AB39" i="76"/>
  <c r="AD38" i="76"/>
  <c r="V27" i="76"/>
  <c r="AB27" i="76" s="1"/>
  <c r="V31" i="76"/>
  <c r="AB31" i="76" s="1"/>
  <c r="V34" i="76"/>
  <c r="AD41" i="76"/>
  <c r="AB36" i="76"/>
  <c r="AD28" i="76"/>
  <c r="AD32" i="76"/>
  <c r="AB29" i="76"/>
  <c r="AD29" i="76"/>
  <c r="AB35" i="76"/>
  <c r="AD30" i="76"/>
  <c r="AB30" i="76"/>
  <c r="AD35" i="76"/>
  <c r="AB32" i="76"/>
  <c r="AB28" i="76"/>
  <c r="AB33" i="76"/>
  <c r="AB34" i="76" l="1"/>
  <c r="AD27" i="76"/>
  <c r="AD31" i="76"/>
  <c r="AD34" i="76"/>
  <c r="D26" i="76"/>
  <c r="J26" i="76" s="1"/>
  <c r="K26" i="76" s="1"/>
  <c r="M26" i="76"/>
  <c r="M25" i="76"/>
  <c r="J25" i="76"/>
  <c r="K25" i="76" s="1"/>
  <c r="D25" i="76"/>
  <c r="M24" i="76"/>
  <c r="D24" i="76"/>
  <c r="J24" i="76" s="1"/>
  <c r="K24" i="76" s="1"/>
  <c r="Z23" i="76"/>
  <c r="AC23" i="76"/>
  <c r="AD23" i="76"/>
  <c r="AE23" i="76"/>
  <c r="AF23" i="76"/>
  <c r="AH23" i="76"/>
  <c r="AI23" i="76"/>
  <c r="AJ23" i="76"/>
  <c r="Z24" i="76"/>
  <c r="AC24" i="76"/>
  <c r="AD24" i="76"/>
  <c r="AE24" i="76"/>
  <c r="AF24" i="76"/>
  <c r="AH24" i="76"/>
  <c r="AI24" i="76"/>
  <c r="AJ24" i="76"/>
  <c r="Z25" i="76"/>
  <c r="AC25" i="76"/>
  <c r="AD25" i="76"/>
  <c r="AE25" i="76"/>
  <c r="AF25" i="76"/>
  <c r="AH25" i="76"/>
  <c r="AI25" i="76"/>
  <c r="AJ25" i="76"/>
  <c r="Z26" i="76"/>
  <c r="AC26" i="76"/>
  <c r="AD26" i="76"/>
  <c r="AE26" i="76"/>
  <c r="AF26" i="76"/>
  <c r="AG26" i="76"/>
  <c r="AI26" i="76"/>
  <c r="AJ26" i="76"/>
  <c r="O23" i="76"/>
  <c r="P23" i="76"/>
  <c r="D23" i="76"/>
  <c r="J23" i="76" s="1"/>
  <c r="K23" i="76" s="1"/>
  <c r="O21" i="76"/>
  <c r="D21" i="76"/>
  <c r="J21" i="76" s="1"/>
  <c r="K21" i="76" s="1"/>
  <c r="N23" i="76"/>
  <c r="P22" i="76"/>
  <c r="O22" i="76"/>
  <c r="N22" i="76"/>
  <c r="D22" i="76"/>
  <c r="J22" i="76" s="1"/>
  <c r="K22" i="76" s="1"/>
  <c r="P21" i="76"/>
  <c r="N21" i="76"/>
  <c r="D20" i="76"/>
  <c r="J20" i="76" s="1"/>
  <c r="K20" i="76" s="1"/>
  <c r="AE20" i="76" s="1"/>
  <c r="M20" i="76"/>
  <c r="Z20" i="76"/>
  <c r="V20" i="76" s="1"/>
  <c r="AC20" i="76"/>
  <c r="AD20" i="76"/>
  <c r="AF20" i="76"/>
  <c r="AH20" i="76"/>
  <c r="AI20" i="76"/>
  <c r="AJ20" i="76"/>
  <c r="M19" i="76"/>
  <c r="J19" i="76"/>
  <c r="K19" i="76" s="1"/>
  <c r="M18" i="76"/>
  <c r="D18" i="76"/>
  <c r="J18" i="76" s="1"/>
  <c r="K18" i="76" s="1"/>
  <c r="M17" i="76"/>
  <c r="D17" i="76"/>
  <c r="J17" i="76" s="1"/>
  <c r="K17" i="76" s="1"/>
  <c r="V25" i="76" l="1"/>
  <c r="V23" i="76"/>
  <c r="AB23" i="76" s="1"/>
  <c r="V26" i="76"/>
  <c r="AH26" i="76" s="1"/>
  <c r="V24" i="76"/>
  <c r="AG24" i="76" s="1"/>
  <c r="AB25" i="76"/>
  <c r="AG25" i="76"/>
  <c r="AG23" i="76"/>
  <c r="AG20" i="76"/>
  <c r="AB20" i="76"/>
  <c r="Z17" i="76"/>
  <c r="V17" i="76" s="1"/>
  <c r="Z18" i="76"/>
  <c r="V18" i="76" s="1"/>
  <c r="Z19" i="76"/>
  <c r="V19" i="76" s="1"/>
  <c r="Z21" i="76"/>
  <c r="V21" i="76" s="1"/>
  <c r="Z22" i="76"/>
  <c r="V22" i="76" s="1"/>
  <c r="AB22" i="76" s="1"/>
  <c r="Z65" i="76"/>
  <c r="V65" i="76" s="1"/>
  <c r="AC16" i="76"/>
  <c r="AD16" i="76"/>
  <c r="AE16" i="76"/>
  <c r="AF16" i="76"/>
  <c r="AG16" i="76"/>
  <c r="AI16" i="76"/>
  <c r="AJ16" i="76"/>
  <c r="AC17" i="76"/>
  <c r="AD17" i="76"/>
  <c r="AE17" i="76"/>
  <c r="AF17" i="76"/>
  <c r="AH17" i="76"/>
  <c r="AI17" i="76"/>
  <c r="AJ17" i="76"/>
  <c r="AC18" i="76"/>
  <c r="AD18" i="76"/>
  <c r="AE18" i="76"/>
  <c r="AG18" i="76"/>
  <c r="AH18" i="76"/>
  <c r="AI18" i="76"/>
  <c r="AJ18" i="76"/>
  <c r="AC19" i="76"/>
  <c r="AD19" i="76"/>
  <c r="AF19" i="76"/>
  <c r="AG19" i="76"/>
  <c r="AH19" i="76"/>
  <c r="AI19" i="76"/>
  <c r="AJ19" i="76"/>
  <c r="AC21" i="76"/>
  <c r="AD21" i="76"/>
  <c r="AE21" i="76"/>
  <c r="AF21" i="76"/>
  <c r="AH21" i="76"/>
  <c r="AI21" i="76"/>
  <c r="AJ21" i="76"/>
  <c r="AC22" i="76"/>
  <c r="AD22" i="76"/>
  <c r="AE22" i="76"/>
  <c r="AF22" i="76"/>
  <c r="AG22" i="76"/>
  <c r="AI22" i="76"/>
  <c r="AJ22" i="76"/>
  <c r="AB65" i="76"/>
  <c r="AC65" i="76"/>
  <c r="AD65" i="76"/>
  <c r="AE65" i="76"/>
  <c r="AF65" i="76"/>
  <c r="AG65" i="76"/>
  <c r="AH65" i="76"/>
  <c r="AI65" i="76"/>
  <c r="AJ65" i="76"/>
  <c r="Z16" i="76"/>
  <c r="V16" i="76"/>
  <c r="M16" i="76"/>
  <c r="D16" i="76"/>
  <c r="J16" i="76" s="1"/>
  <c r="K16" i="76" s="1"/>
  <c r="D15" i="76"/>
  <c r="J15" i="76" s="1"/>
  <c r="K15" i="76" s="1"/>
  <c r="M15" i="76"/>
  <c r="N14" i="76"/>
  <c r="O14" i="76"/>
  <c r="M14" i="76"/>
  <c r="D14" i="76"/>
  <c r="J14" i="76" s="1"/>
  <c r="K14" i="76" s="1"/>
  <c r="Z14" i="76"/>
  <c r="V14" i="76" s="1"/>
  <c r="AC14" i="76"/>
  <c r="AD14" i="76"/>
  <c r="AE14" i="76"/>
  <c r="AF14" i="76"/>
  <c r="AG14" i="76"/>
  <c r="AH14" i="76"/>
  <c r="AJ14" i="76"/>
  <c r="M13" i="76"/>
  <c r="D13" i="76"/>
  <c r="J13" i="76" s="1"/>
  <c r="K13" i="76" s="1"/>
  <c r="M12" i="76"/>
  <c r="D12" i="76"/>
  <c r="J12" i="76" s="1"/>
  <c r="K12" i="76" s="1"/>
  <c r="Z12" i="76"/>
  <c r="AC12" i="76"/>
  <c r="AD12" i="76"/>
  <c r="AE12" i="76"/>
  <c r="AF12" i="76"/>
  <c r="AG12" i="76"/>
  <c r="AJ12" i="76"/>
  <c r="N11" i="76"/>
  <c r="O11" i="76"/>
  <c r="M11" i="76"/>
  <c r="D11" i="76"/>
  <c r="J11" i="76" s="1"/>
  <c r="K11" i="76" s="1"/>
  <c r="M10" i="76"/>
  <c r="D10" i="76"/>
  <c r="J10" i="76" s="1"/>
  <c r="K10" i="76" s="1"/>
  <c r="M9" i="76"/>
  <c r="N9" i="76"/>
  <c r="D9" i="76"/>
  <c r="J9" i="76"/>
  <c r="K9" i="76" s="1"/>
  <c r="M8" i="76"/>
  <c r="D8" i="76"/>
  <c r="J8" i="76" s="1"/>
  <c r="K8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V12" i="76" l="1"/>
  <c r="AI12" i="76"/>
  <c r="AH16" i="76"/>
  <c r="AB26" i="76"/>
  <c r="AB24" i="76"/>
  <c r="AB16" i="76"/>
  <c r="AH22" i="76"/>
  <c r="AG21" i="76"/>
  <c r="AB21" i="76"/>
  <c r="AB19" i="76"/>
  <c r="AE19" i="76"/>
  <c r="AF18" i="76"/>
  <c r="AB18" i="76"/>
  <c r="AG17" i="76"/>
  <c r="AB17" i="76"/>
  <c r="AI14" i="76"/>
  <c r="AB14" i="76"/>
  <c r="AH12" i="76"/>
  <c r="AB12" i="76"/>
  <c r="Z8" i="76"/>
  <c r="V8" i="76" s="1"/>
  <c r="AH8" i="76" s="1"/>
  <c r="AC8" i="76"/>
  <c r="AD8" i="76"/>
  <c r="AE8" i="76"/>
  <c r="AF8" i="76"/>
  <c r="AG8" i="76"/>
  <c r="AI8" i="76"/>
  <c r="AJ8" i="76"/>
  <c r="Z9" i="76"/>
  <c r="V9" i="76" s="1"/>
  <c r="AI9" i="76" s="1"/>
  <c r="AC9" i="76"/>
  <c r="AD9" i="76"/>
  <c r="AE9" i="76"/>
  <c r="AF9" i="76"/>
  <c r="AG9" i="76"/>
  <c r="AH9" i="76"/>
  <c r="AJ9" i="76"/>
  <c r="Z10" i="76"/>
  <c r="V10" i="76" s="1"/>
  <c r="AC10" i="76"/>
  <c r="AD10" i="76"/>
  <c r="AE10" i="76"/>
  <c r="AF10" i="76"/>
  <c r="AG10" i="76"/>
  <c r="AH10" i="76"/>
  <c r="AJ10" i="76"/>
  <c r="Z11" i="76"/>
  <c r="V11" i="76" s="1"/>
  <c r="AB11" i="76" s="1"/>
  <c r="AC11" i="76"/>
  <c r="AD11" i="76"/>
  <c r="AE11" i="76"/>
  <c r="AF11" i="76"/>
  <c r="AG11" i="76"/>
  <c r="AI11" i="76"/>
  <c r="AJ11" i="76"/>
  <c r="Z13" i="76"/>
  <c r="V13" i="76" s="1"/>
  <c r="AI13" i="76" s="1"/>
  <c r="AC13" i="76"/>
  <c r="AD13" i="76"/>
  <c r="AE13" i="76"/>
  <c r="AF13" i="76"/>
  <c r="AG13" i="76"/>
  <c r="AH13" i="76"/>
  <c r="AJ13" i="76"/>
  <c r="Z15" i="76"/>
  <c r="V15" i="76" s="1"/>
  <c r="AI15" i="76" s="1"/>
  <c r="AC15" i="76"/>
  <c r="AD15" i="76"/>
  <c r="AE15" i="76"/>
  <c r="AF15" i="76"/>
  <c r="AG15" i="76"/>
  <c r="AH15" i="76"/>
  <c r="AJ15" i="76"/>
  <c r="M7" i="76"/>
  <c r="D7" i="76"/>
  <c r="AB15" i="76" l="1"/>
  <c r="AB8" i="76"/>
  <c r="AI10" i="76"/>
  <c r="AB10" i="76"/>
  <c r="AB13" i="76"/>
  <c r="AH11" i="76"/>
  <c r="AB9" i="76"/>
  <c r="AJ66" i="76"/>
  <c r="AJ68" i="76" s="1"/>
  <c r="AC7" i="76"/>
  <c r="AC66" i="76" s="1"/>
  <c r="AC68" i="76" s="1"/>
  <c r="AD7" i="76"/>
  <c r="AD66" i="76" s="1"/>
  <c r="AD68" i="76" s="1"/>
  <c r="AE7" i="76"/>
  <c r="AE66" i="76" s="1"/>
  <c r="AE68" i="76" s="1"/>
  <c r="AF7" i="76"/>
  <c r="AF66" i="76" s="1"/>
  <c r="AF68" i="76" s="1"/>
  <c r="AG7" i="76"/>
  <c r="AG66" i="76" s="1"/>
  <c r="AG68" i="76" s="1"/>
  <c r="AH7" i="76"/>
  <c r="AJ7" i="76"/>
  <c r="Z7" i="76"/>
  <c r="J7" i="76"/>
  <c r="K7" i="76" s="1"/>
  <c r="AH66" i="76" l="1"/>
  <c r="AH68" i="76" s="1"/>
  <c r="V7" i="76"/>
  <c r="AI7" i="76" s="1"/>
  <c r="AI66" i="76" s="1"/>
  <c r="AI68" i="76" s="1"/>
  <c r="AB70" i="76" l="1"/>
  <c r="AB7" i="76"/>
  <c r="AB66" i="76" s="1"/>
  <c r="AJ3" i="76" l="1"/>
  <c r="C29" i="70" l="1"/>
  <c r="G44" i="73"/>
  <c r="H38" i="73"/>
  <c r="F40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29" i="73"/>
  <c r="J29" i="73" s="1"/>
  <c r="I30" i="73"/>
  <c r="J30" i="73" s="1"/>
  <c r="I31" i="73"/>
  <c r="J31" i="73" s="1"/>
  <c r="I32" i="73"/>
  <c r="J32" i="73" s="1"/>
  <c r="I9" i="73"/>
  <c r="I10" i="73"/>
  <c r="I8" i="73"/>
  <c r="M32" i="73"/>
  <c r="M31" i="73"/>
  <c r="N32" i="73"/>
  <c r="N31" i="73"/>
  <c r="AH32" i="73"/>
  <c r="AG32" i="73"/>
  <c r="AD32" i="73"/>
  <c r="AC32" i="73"/>
  <c r="AB32" i="73"/>
  <c r="Y32" i="73"/>
  <c r="AH31" i="73"/>
  <c r="AE31" i="73"/>
  <c r="AD31" i="73"/>
  <c r="AC31" i="73"/>
  <c r="AB31" i="73"/>
  <c r="Y31" i="73"/>
  <c r="AH30" i="73"/>
  <c r="AG30" i="73"/>
  <c r="AE30" i="73"/>
  <c r="AD30" i="73"/>
  <c r="AB30" i="73"/>
  <c r="Y30" i="73"/>
  <c r="K30" i="73" s="1"/>
  <c r="AG29" i="73"/>
  <c r="AF29" i="73"/>
  <c r="AE29" i="73"/>
  <c r="AD29" i="73"/>
  <c r="AB29" i="73"/>
  <c r="Y29" i="73"/>
  <c r="O29" i="73"/>
  <c r="N29" i="73"/>
  <c r="M29" i="73"/>
  <c r="O28" i="73"/>
  <c r="AF30" i="73" l="1"/>
  <c r="K32" i="73"/>
  <c r="AE32" i="73" s="1"/>
  <c r="K31" i="73"/>
  <c r="AF31" i="73" s="1"/>
  <c r="AG31" i="73"/>
  <c r="AF32" i="73"/>
  <c r="AC30" i="73"/>
  <c r="AA30" i="73"/>
  <c r="K29" i="73"/>
  <c r="AH29" i="73" s="1"/>
  <c r="AC29" i="73"/>
  <c r="N28" i="73"/>
  <c r="M28" i="73"/>
  <c r="AG28" i="73"/>
  <c r="AF28" i="73"/>
  <c r="AE28" i="73"/>
  <c r="AD28" i="73"/>
  <c r="AB28" i="73"/>
  <c r="Y28" i="73"/>
  <c r="J28" i="73"/>
  <c r="AH27" i="73"/>
  <c r="AG27" i="73"/>
  <c r="AF27" i="73"/>
  <c r="AE27" i="73"/>
  <c r="AD27" i="73"/>
  <c r="AB27" i="73"/>
  <c r="Y27" i="73"/>
  <c r="M27" i="73"/>
  <c r="J27" i="73"/>
  <c r="M26" i="73"/>
  <c r="AH26" i="73"/>
  <c r="AG26" i="73"/>
  <c r="AF26" i="73"/>
  <c r="AE26" i="73"/>
  <c r="AB26" i="73"/>
  <c r="Y26" i="73"/>
  <c r="J26" i="73"/>
  <c r="AD26" i="73" s="1"/>
  <c r="M25" i="73"/>
  <c r="AH25" i="73"/>
  <c r="AG25" i="73"/>
  <c r="AF25" i="73"/>
  <c r="AE25" i="73"/>
  <c r="AC25" i="73"/>
  <c r="Y25" i="73"/>
  <c r="J25" i="73"/>
  <c r="AH24" i="73"/>
  <c r="AG24" i="73"/>
  <c r="AE24" i="73"/>
  <c r="AC24" i="73"/>
  <c r="AB24" i="73"/>
  <c r="Y24" i="73"/>
  <c r="M24" i="73"/>
  <c r="J24" i="73"/>
  <c r="M23" i="73"/>
  <c r="AH23" i="73"/>
  <c r="AF23" i="73"/>
  <c r="AE23" i="73"/>
  <c r="AC23" i="73"/>
  <c r="AB23" i="73"/>
  <c r="Y23" i="73"/>
  <c r="J23" i="73"/>
  <c r="M22" i="73"/>
  <c r="AH22" i="73"/>
  <c r="AG22" i="73"/>
  <c r="AE22" i="73"/>
  <c r="AC22" i="73"/>
  <c r="AB22" i="73"/>
  <c r="Y22" i="73"/>
  <c r="J22" i="73"/>
  <c r="M21" i="73"/>
  <c r="AH21" i="73"/>
  <c r="AF21" i="73"/>
  <c r="AE21" i="73"/>
  <c r="AC21" i="73"/>
  <c r="AB21" i="73"/>
  <c r="Y21" i="73"/>
  <c r="J21" i="73"/>
  <c r="M20" i="73"/>
  <c r="AH20" i="73"/>
  <c r="AG20" i="73"/>
  <c r="AE20" i="73"/>
  <c r="AC20" i="73"/>
  <c r="AB20" i="73"/>
  <c r="Y20" i="73"/>
  <c r="J20" i="73"/>
  <c r="M19" i="73"/>
  <c r="AH19" i="73"/>
  <c r="AF19" i="73"/>
  <c r="AE19" i="73"/>
  <c r="AC19" i="73"/>
  <c r="AB19" i="73"/>
  <c r="Y19" i="73"/>
  <c r="J19" i="73"/>
  <c r="N18" i="73"/>
  <c r="AH18" i="73"/>
  <c r="AG18" i="73"/>
  <c r="AE18" i="73"/>
  <c r="AC18" i="73"/>
  <c r="AB18" i="73"/>
  <c r="Y18" i="73"/>
  <c r="M18" i="73"/>
  <c r="J18" i="73"/>
  <c r="N17" i="73"/>
  <c r="AH17" i="73"/>
  <c r="AF17" i="73"/>
  <c r="AE17" i="73"/>
  <c r="AC17" i="73"/>
  <c r="AB17" i="73"/>
  <c r="Y17" i="73"/>
  <c r="M17" i="73"/>
  <c r="J17" i="73"/>
  <c r="AH16" i="73"/>
  <c r="AG16" i="73"/>
  <c r="AF16" i="73"/>
  <c r="AC16" i="73"/>
  <c r="AB16" i="73"/>
  <c r="Y16" i="73"/>
  <c r="M16" i="73"/>
  <c r="J16" i="73"/>
  <c r="AH15" i="73"/>
  <c r="AG15" i="73"/>
  <c r="AE15" i="73"/>
  <c r="AC15" i="73"/>
  <c r="AB15" i="73"/>
  <c r="Y15" i="73"/>
  <c r="K15" i="73" s="1"/>
  <c r="J15" i="73"/>
  <c r="AH14" i="73"/>
  <c r="AG14" i="73"/>
  <c r="AF14" i="73"/>
  <c r="AC14" i="73"/>
  <c r="AB14" i="73"/>
  <c r="Y14" i="73"/>
  <c r="M14" i="73"/>
  <c r="J14" i="73"/>
  <c r="M13" i="73"/>
  <c r="AH13" i="73"/>
  <c r="AG13" i="73"/>
  <c r="AE13" i="73"/>
  <c r="AC13" i="73"/>
  <c r="AB13" i="73"/>
  <c r="Y13" i="73"/>
  <c r="J13" i="73"/>
  <c r="M12" i="73"/>
  <c r="AH12" i="73"/>
  <c r="AG12" i="73"/>
  <c r="AF12" i="73"/>
  <c r="AC12" i="73"/>
  <c r="AB12" i="73"/>
  <c r="Y12" i="73"/>
  <c r="J12" i="73"/>
  <c r="M11" i="73"/>
  <c r="AH11" i="73"/>
  <c r="AG11" i="73"/>
  <c r="AE11" i="73"/>
  <c r="AC11" i="73"/>
  <c r="AB11" i="73"/>
  <c r="Y11" i="73"/>
  <c r="J11" i="73"/>
  <c r="N10" i="73"/>
  <c r="AH10" i="73"/>
  <c r="AG10" i="73"/>
  <c r="AE10" i="73"/>
  <c r="AC10" i="73"/>
  <c r="AB10" i="73"/>
  <c r="Y10" i="73"/>
  <c r="M10" i="73"/>
  <c r="J10" i="73"/>
  <c r="M9" i="73"/>
  <c r="AH9" i="73"/>
  <c r="AG9" i="73"/>
  <c r="AF9" i="73"/>
  <c r="AE9" i="73"/>
  <c r="AC9" i="73"/>
  <c r="AB9" i="73"/>
  <c r="Y9" i="73"/>
  <c r="J9" i="73"/>
  <c r="N8" i="73"/>
  <c r="M8" i="73"/>
  <c r="AH8" i="73"/>
  <c r="AG8" i="73"/>
  <c r="AE8" i="73"/>
  <c r="AC8" i="73"/>
  <c r="AB8" i="73"/>
  <c r="Y8" i="73"/>
  <c r="J8" i="73"/>
  <c r="AH7" i="73"/>
  <c r="AG7" i="73"/>
  <c r="AF7" i="73"/>
  <c r="AE7" i="73"/>
  <c r="AD7" i="73"/>
  <c r="AC7" i="73"/>
  <c r="AB7" i="73"/>
  <c r="AA7" i="73"/>
  <c r="Y7" i="73"/>
  <c r="I44" i="70"/>
  <c r="I43" i="70"/>
  <c r="J43" i="70" s="1"/>
  <c r="I42" i="70"/>
  <c r="J42" i="70" s="1"/>
  <c r="I41" i="70"/>
  <c r="J41" i="70" s="1"/>
  <c r="O46" i="70"/>
  <c r="N45" i="70"/>
  <c r="M45" i="70"/>
  <c r="P46" i="70"/>
  <c r="AH46" i="70"/>
  <c r="AG46" i="70"/>
  <c r="AE46" i="70"/>
  <c r="AD46" i="70"/>
  <c r="AC46" i="70"/>
  <c r="AB46" i="70"/>
  <c r="Y46" i="70"/>
  <c r="I46" i="70"/>
  <c r="J46" i="70" s="1"/>
  <c r="AH45" i="70"/>
  <c r="AG45" i="70"/>
  <c r="AE45" i="70"/>
  <c r="AD45" i="70"/>
  <c r="AC45" i="70"/>
  <c r="AB45" i="70"/>
  <c r="Y45" i="70"/>
  <c r="I45" i="70"/>
  <c r="J45" i="70" s="1"/>
  <c r="I21" i="70"/>
  <c r="J21" i="70" s="1"/>
  <c r="N44" i="70"/>
  <c r="M44" i="70"/>
  <c r="N43" i="70"/>
  <c r="M43" i="70"/>
  <c r="P42" i="70"/>
  <c r="N42" i="70"/>
  <c r="O42" i="70" s="1"/>
  <c r="P41" i="70"/>
  <c r="N41" i="70"/>
  <c r="O41" i="70" s="1"/>
  <c r="AH44" i="70"/>
  <c r="AG44" i="70"/>
  <c r="AE44" i="70"/>
  <c r="AD44" i="70"/>
  <c r="AC44" i="70"/>
  <c r="AB44" i="70"/>
  <c r="Y44" i="70"/>
  <c r="J44" i="70"/>
  <c r="AH42" i="70"/>
  <c r="AG42" i="70"/>
  <c r="AE42" i="70"/>
  <c r="AD42" i="70"/>
  <c r="AC42" i="70"/>
  <c r="AB42" i="70"/>
  <c r="Y42" i="70"/>
  <c r="N21" i="70"/>
  <c r="I19" i="70"/>
  <c r="J19" i="70" s="1"/>
  <c r="I20" i="70"/>
  <c r="J20" i="70" s="1"/>
  <c r="I18" i="70"/>
  <c r="J18" i="70" s="1"/>
  <c r="AH21" i="70"/>
  <c r="AG21" i="70"/>
  <c r="AE21" i="70"/>
  <c r="AD21" i="70"/>
  <c r="AC21" i="70"/>
  <c r="AB21" i="70"/>
  <c r="Y21" i="70"/>
  <c r="M21" i="70"/>
  <c r="AH19" i="70"/>
  <c r="AG19" i="70"/>
  <c r="AE19" i="70"/>
  <c r="AD19" i="70"/>
  <c r="AC19" i="70"/>
  <c r="AB19" i="70"/>
  <c r="Y19" i="70"/>
  <c r="P19" i="70"/>
  <c r="N19" i="70"/>
  <c r="O19" i="70" s="1"/>
  <c r="N28" i="70"/>
  <c r="I40" i="70"/>
  <c r="J40" i="70" s="1"/>
  <c r="I38" i="70"/>
  <c r="J38" i="70" s="1"/>
  <c r="I36" i="70"/>
  <c r="J36" i="70" s="1"/>
  <c r="I35" i="70"/>
  <c r="J35" i="70" s="1"/>
  <c r="I34" i="70"/>
  <c r="J34" i="70" s="1"/>
  <c r="I33" i="70"/>
  <c r="J33" i="70" s="1"/>
  <c r="I32" i="70"/>
  <c r="J32" i="70" s="1"/>
  <c r="M40" i="70"/>
  <c r="N39" i="70"/>
  <c r="AH40" i="70"/>
  <c r="AG40" i="70"/>
  <c r="AE40" i="70"/>
  <c r="AD40" i="70"/>
  <c r="AC40" i="70"/>
  <c r="AB40" i="70"/>
  <c r="Y40" i="70"/>
  <c r="P40" i="70"/>
  <c r="O40" i="70"/>
  <c r="AH39" i="70"/>
  <c r="AG39" i="70"/>
  <c r="AE39" i="70"/>
  <c r="AD39" i="70"/>
  <c r="AC39" i="70"/>
  <c r="AB39" i="70"/>
  <c r="Y39" i="70"/>
  <c r="M39" i="70"/>
  <c r="D39" i="70"/>
  <c r="I39" i="70" s="1"/>
  <c r="M38" i="70"/>
  <c r="O38" i="70"/>
  <c r="P38" i="70"/>
  <c r="AH38" i="70"/>
  <c r="AG38" i="70"/>
  <c r="AE38" i="70"/>
  <c r="AD38" i="70"/>
  <c r="AC38" i="70"/>
  <c r="AB38" i="70"/>
  <c r="Y38" i="70"/>
  <c r="M35" i="70"/>
  <c r="AH35" i="70"/>
  <c r="AG35" i="70"/>
  <c r="AE35" i="70"/>
  <c r="AD35" i="70"/>
  <c r="AC35" i="70"/>
  <c r="AB35" i="70"/>
  <c r="Y35" i="70"/>
  <c r="I30" i="70"/>
  <c r="J30" i="70" s="1"/>
  <c r="I31" i="70"/>
  <c r="J31" i="70" s="1"/>
  <c r="I29" i="70"/>
  <c r="J29" i="70" s="1"/>
  <c r="I28" i="70"/>
  <c r="J28" i="70" s="1"/>
  <c r="AH33" i="70"/>
  <c r="AG33" i="70"/>
  <c r="AE33" i="70"/>
  <c r="AD33" i="70"/>
  <c r="AC33" i="70"/>
  <c r="AB33" i="70"/>
  <c r="Y33" i="70"/>
  <c r="N33" i="70"/>
  <c r="P33" i="70" s="1"/>
  <c r="AH31" i="70"/>
  <c r="AG31" i="70"/>
  <c r="AE31" i="70"/>
  <c r="AD31" i="70"/>
  <c r="AC31" i="70"/>
  <c r="AB31" i="70"/>
  <c r="Y31" i="70"/>
  <c r="K31" i="70" s="1"/>
  <c r="N15" i="70"/>
  <c r="N17" i="70"/>
  <c r="AH17" i="70"/>
  <c r="AG17" i="70"/>
  <c r="AE17" i="70"/>
  <c r="AD17" i="70"/>
  <c r="AC17" i="70"/>
  <c r="AB17" i="70"/>
  <c r="Y17" i="70"/>
  <c r="M17" i="70"/>
  <c r="I17" i="70"/>
  <c r="AH15" i="70"/>
  <c r="AG15" i="70"/>
  <c r="AE15" i="70"/>
  <c r="AD15" i="70"/>
  <c r="AC15" i="70"/>
  <c r="AB15" i="70"/>
  <c r="Y15" i="70"/>
  <c r="M15" i="70"/>
  <c r="M13" i="70"/>
  <c r="I13" i="70"/>
  <c r="AH13" i="70"/>
  <c r="AG13" i="70"/>
  <c r="AE13" i="70"/>
  <c r="AD13" i="70"/>
  <c r="AC13" i="70"/>
  <c r="AB13" i="70"/>
  <c r="Y13" i="70"/>
  <c r="I9" i="70"/>
  <c r="J9" i="70" s="1"/>
  <c r="I10" i="70"/>
  <c r="I11" i="70"/>
  <c r="J11" i="70" s="1"/>
  <c r="I12" i="70"/>
  <c r="I14" i="70"/>
  <c r="J14" i="70" s="1"/>
  <c r="I16" i="70"/>
  <c r="I8" i="70"/>
  <c r="J8" i="70" s="1"/>
  <c r="AH11" i="70"/>
  <c r="AG11" i="70"/>
  <c r="AE11" i="70"/>
  <c r="AD11" i="70"/>
  <c r="AC11" i="70"/>
  <c r="AB11" i="70"/>
  <c r="Y11" i="70"/>
  <c r="N11" i="70"/>
  <c r="P11" i="70" s="1"/>
  <c r="AH9" i="70"/>
  <c r="AG9" i="70"/>
  <c r="AE9" i="70"/>
  <c r="AD9" i="70"/>
  <c r="AC9" i="70"/>
  <c r="AB9" i="70"/>
  <c r="Y9" i="70"/>
  <c r="M9" i="70"/>
  <c r="N9" i="70" s="1"/>
  <c r="AH43" i="70"/>
  <c r="AG43" i="70"/>
  <c r="AE43" i="70"/>
  <c r="AD43" i="70"/>
  <c r="AC43" i="70"/>
  <c r="AB43" i="70"/>
  <c r="Y43" i="70"/>
  <c r="AH41" i="70"/>
  <c r="AG41" i="70"/>
  <c r="AE41" i="70"/>
  <c r="AD41" i="70"/>
  <c r="AC41" i="70"/>
  <c r="AB41" i="70"/>
  <c r="Y41" i="70"/>
  <c r="N37" i="70"/>
  <c r="D37" i="70"/>
  <c r="I37" i="70" s="1"/>
  <c r="N30" i="70"/>
  <c r="AH16" i="70"/>
  <c r="AG16" i="70"/>
  <c r="AE16" i="70"/>
  <c r="AD16" i="70"/>
  <c r="AC16" i="70"/>
  <c r="AB16" i="70"/>
  <c r="Y16" i="70"/>
  <c r="N16" i="70"/>
  <c r="M16" i="70"/>
  <c r="N14" i="70"/>
  <c r="M12" i="70"/>
  <c r="N10" i="70"/>
  <c r="P10" i="70" s="1"/>
  <c r="Y7" i="70"/>
  <c r="K7" i="70" s="1"/>
  <c r="Y8" i="70"/>
  <c r="Y10" i="70"/>
  <c r="Y12" i="70"/>
  <c r="Y14" i="70"/>
  <c r="Y18" i="70"/>
  <c r="Y20" i="70"/>
  <c r="Y22" i="70"/>
  <c r="Y23" i="70"/>
  <c r="Y24" i="70"/>
  <c r="Y25" i="70"/>
  <c r="Y26" i="70"/>
  <c r="Y27" i="70"/>
  <c r="K27" i="70" s="1"/>
  <c r="Y28" i="70"/>
  <c r="Y29" i="70"/>
  <c r="Y30" i="70"/>
  <c r="Y32" i="70"/>
  <c r="Y34" i="70"/>
  <c r="Y36" i="70"/>
  <c r="Y37" i="70"/>
  <c r="N8" i="70"/>
  <c r="AH37" i="70"/>
  <c r="AG37" i="70"/>
  <c r="AE37" i="70"/>
  <c r="AD37" i="70"/>
  <c r="AC37" i="70"/>
  <c r="AB37" i="70"/>
  <c r="M37" i="70"/>
  <c r="AH36" i="70"/>
  <c r="AE36" i="70"/>
  <c r="AD36" i="70"/>
  <c r="AC36" i="70"/>
  <c r="AB36" i="70"/>
  <c r="N36" i="70"/>
  <c r="P36" i="70" s="1"/>
  <c r="AH34" i="70"/>
  <c r="AG34" i="70"/>
  <c r="AE34" i="70"/>
  <c r="AD34" i="70"/>
  <c r="AC34" i="70"/>
  <c r="AB34" i="70"/>
  <c r="M34" i="70"/>
  <c r="AH32" i="70"/>
  <c r="AE32" i="70"/>
  <c r="AD32" i="70"/>
  <c r="AC32" i="70"/>
  <c r="AB32" i="70"/>
  <c r="N32" i="70"/>
  <c r="P32" i="70" s="1"/>
  <c r="AH30" i="70"/>
  <c r="AG30" i="70"/>
  <c r="AE30" i="70"/>
  <c r="AD30" i="70"/>
  <c r="AC30" i="70"/>
  <c r="AB30" i="70"/>
  <c r="M30" i="70"/>
  <c r="AH29" i="70"/>
  <c r="AG29" i="70"/>
  <c r="AE29" i="70"/>
  <c r="AD29" i="70"/>
  <c r="AC29" i="70"/>
  <c r="AB29" i="70"/>
  <c r="M29" i="70"/>
  <c r="AH28" i="70"/>
  <c r="AG28" i="70"/>
  <c r="AE28" i="70"/>
  <c r="AD28" i="70"/>
  <c r="AC28" i="70"/>
  <c r="AB28" i="70"/>
  <c r="M28" i="70"/>
  <c r="AH27" i="70"/>
  <c r="AG27" i="70"/>
  <c r="AF27" i="70"/>
  <c r="AE27" i="70"/>
  <c r="AD27" i="70"/>
  <c r="AC27" i="70"/>
  <c r="AB27" i="70"/>
  <c r="AA27" i="70"/>
  <c r="AH26" i="70"/>
  <c r="AG26" i="70"/>
  <c r="AE26" i="70"/>
  <c r="AD26" i="70"/>
  <c r="AC26" i="70"/>
  <c r="AB26" i="70"/>
  <c r="N26" i="70"/>
  <c r="M26" i="70"/>
  <c r="I26" i="70"/>
  <c r="J26" i="70" s="1"/>
  <c r="AH25" i="70"/>
  <c r="AG25" i="70"/>
  <c r="AE25" i="70"/>
  <c r="AD25" i="70"/>
  <c r="AC25" i="70"/>
  <c r="AB25" i="70"/>
  <c r="P25" i="70"/>
  <c r="O25" i="70"/>
  <c r="N25" i="70"/>
  <c r="I25" i="70"/>
  <c r="J25" i="70" s="1"/>
  <c r="AH24" i="70"/>
  <c r="AG24" i="70"/>
  <c r="AE24" i="70"/>
  <c r="AD24" i="70"/>
  <c r="AC24" i="70"/>
  <c r="AB24" i="70"/>
  <c r="M24" i="70"/>
  <c r="I24" i="70"/>
  <c r="J24" i="70" s="1"/>
  <c r="AH23" i="70"/>
  <c r="AG23" i="70"/>
  <c r="AE23" i="70"/>
  <c r="AD23" i="70"/>
  <c r="AC23" i="70"/>
  <c r="AB23" i="70"/>
  <c r="M23" i="70"/>
  <c r="I23" i="70"/>
  <c r="J23" i="70" s="1"/>
  <c r="AH22" i="70"/>
  <c r="AG22" i="70"/>
  <c r="AF22" i="70"/>
  <c r="AE22" i="70"/>
  <c r="AD22" i="70"/>
  <c r="AC22" i="70"/>
  <c r="AB22" i="70"/>
  <c r="AA22" i="70"/>
  <c r="AH20" i="70"/>
  <c r="AG20" i="70"/>
  <c r="AE20" i="70"/>
  <c r="AD20" i="70"/>
  <c r="AC20" i="70"/>
  <c r="AB20" i="70"/>
  <c r="N20" i="70"/>
  <c r="M20" i="70"/>
  <c r="AH18" i="70"/>
  <c r="AG18" i="70"/>
  <c r="AE18" i="70"/>
  <c r="AD18" i="70"/>
  <c r="AC18" i="70"/>
  <c r="AB18" i="70"/>
  <c r="P18" i="70"/>
  <c r="N18" i="70"/>
  <c r="O18" i="70" s="1"/>
  <c r="AH14" i="70"/>
  <c r="AG14" i="70"/>
  <c r="AE14" i="70"/>
  <c r="AD14" i="70"/>
  <c r="AC14" i="70"/>
  <c r="AB14" i="70"/>
  <c r="M14" i="70"/>
  <c r="AH12" i="70"/>
  <c r="AG12" i="70"/>
  <c r="AE12" i="70"/>
  <c r="AD12" i="70"/>
  <c r="AC12" i="70"/>
  <c r="AB12" i="70"/>
  <c r="AH10" i="70"/>
  <c r="AG10" i="70"/>
  <c r="AE10" i="70"/>
  <c r="AD10" i="70"/>
  <c r="AC10" i="70"/>
  <c r="AB10" i="70"/>
  <c r="AH8" i="70"/>
  <c r="AG8" i="70"/>
  <c r="AE8" i="70"/>
  <c r="AD8" i="70"/>
  <c r="AC8" i="70"/>
  <c r="AB8" i="70"/>
  <c r="M8" i="70"/>
  <c r="AH7" i="70"/>
  <c r="AG7" i="70"/>
  <c r="AF7" i="70"/>
  <c r="AE7" i="70"/>
  <c r="AD7" i="70"/>
  <c r="AC7" i="70"/>
  <c r="AB7" i="70"/>
  <c r="AA7" i="70"/>
  <c r="K27" i="73" l="1"/>
  <c r="AC27" i="73" s="1"/>
  <c r="AA29" i="73"/>
  <c r="AA32" i="73"/>
  <c r="AC47" i="70"/>
  <c r="K28" i="73"/>
  <c r="AH28" i="73" s="1"/>
  <c r="K46" i="70"/>
  <c r="AF46" i="70" s="1"/>
  <c r="AA31" i="73"/>
  <c r="K26" i="73"/>
  <c r="AC26" i="73" s="1"/>
  <c r="K24" i="73"/>
  <c r="AF24" i="73" s="1"/>
  <c r="AC28" i="73"/>
  <c r="AF15" i="73"/>
  <c r="AA27" i="73"/>
  <c r="K25" i="73"/>
  <c r="AB25" i="73" s="1"/>
  <c r="AD25" i="73"/>
  <c r="K23" i="73"/>
  <c r="AG23" i="73" s="1"/>
  <c r="K22" i="73"/>
  <c r="AA22" i="73" s="1"/>
  <c r="K17" i="73"/>
  <c r="AD23" i="73"/>
  <c r="K18" i="73"/>
  <c r="K21" i="73"/>
  <c r="AA21" i="73" s="1"/>
  <c r="K20" i="73"/>
  <c r="AD20" i="73" s="1"/>
  <c r="K19" i="73"/>
  <c r="K12" i="73"/>
  <c r="K13" i="73"/>
  <c r="K14" i="73"/>
  <c r="K16" i="73"/>
  <c r="AA15" i="73"/>
  <c r="AD15" i="73"/>
  <c r="K9" i="73"/>
  <c r="AA9" i="73" s="1"/>
  <c r="K11" i="73"/>
  <c r="K10" i="73"/>
  <c r="K8" i="73"/>
  <c r="AD8" i="73" s="1"/>
  <c r="AF8" i="73"/>
  <c r="AH47" i="70"/>
  <c r="K45" i="70"/>
  <c r="AF45" i="70" s="1"/>
  <c r="K44" i="70"/>
  <c r="AF44" i="70" s="1"/>
  <c r="AD47" i="70"/>
  <c r="AB47" i="70"/>
  <c r="AE47" i="70"/>
  <c r="K42" i="70"/>
  <c r="AA42" i="70" s="1"/>
  <c r="K21" i="70"/>
  <c r="AF21" i="70" s="1"/>
  <c r="K40" i="70"/>
  <c r="AF40" i="70" s="1"/>
  <c r="K35" i="70"/>
  <c r="AF35" i="70" s="1"/>
  <c r="K19" i="70"/>
  <c r="AF19" i="70" s="1"/>
  <c r="K39" i="70"/>
  <c r="J39" i="70"/>
  <c r="J37" i="70"/>
  <c r="K34" i="70"/>
  <c r="AA34" i="70" s="1"/>
  <c r="K28" i="70"/>
  <c r="AA28" i="70" s="1"/>
  <c r="K38" i="70"/>
  <c r="AF38" i="70" s="1"/>
  <c r="K20" i="70"/>
  <c r="AF20" i="70" s="1"/>
  <c r="O33" i="70"/>
  <c r="K33" i="70" s="1"/>
  <c r="K15" i="70"/>
  <c r="K13" i="70"/>
  <c r="AF31" i="70"/>
  <c r="AA31" i="70"/>
  <c r="I15" i="70"/>
  <c r="J15" i="70" s="1"/>
  <c r="J16" i="70"/>
  <c r="K12" i="70"/>
  <c r="J17" i="70"/>
  <c r="J13" i="70"/>
  <c r="K17" i="70"/>
  <c r="J12" i="70"/>
  <c r="J10" i="70"/>
  <c r="K43" i="70"/>
  <c r="AF43" i="70" s="1"/>
  <c r="K37" i="70"/>
  <c r="K41" i="70"/>
  <c r="AA41" i="70" s="1"/>
  <c r="O11" i="70"/>
  <c r="K11" i="70" s="1"/>
  <c r="K23" i="70"/>
  <c r="AF23" i="70" s="1"/>
  <c r="K16" i="70"/>
  <c r="K29" i="70"/>
  <c r="AA29" i="70" s="1"/>
  <c r="K26" i="70"/>
  <c r="AA26" i="70" s="1"/>
  <c r="K25" i="70"/>
  <c r="AA25" i="70" s="1"/>
  <c r="K14" i="70"/>
  <c r="AF14" i="70" s="1"/>
  <c r="K24" i="70"/>
  <c r="AA24" i="70" s="1"/>
  <c r="K30" i="70"/>
  <c r="AF30" i="70" s="1"/>
  <c r="K9" i="70"/>
  <c r="AA9" i="70" s="1"/>
  <c r="K18" i="70"/>
  <c r="AF18" i="70" s="1"/>
  <c r="O32" i="70"/>
  <c r="K32" i="70" s="1"/>
  <c r="O36" i="70"/>
  <c r="K36" i="70" s="1"/>
  <c r="AF36" i="70" s="1"/>
  <c r="K8" i="70"/>
  <c r="AA8" i="70" s="1"/>
  <c r="O10" i="70"/>
  <c r="K10" i="70" s="1"/>
  <c r="AA28" i="73" l="1"/>
  <c r="AA25" i="73"/>
  <c r="AA35" i="70"/>
  <c r="AA46" i="70"/>
  <c r="AA24" i="73"/>
  <c r="AA44" i="70"/>
  <c r="AA39" i="70"/>
  <c r="AA19" i="70"/>
  <c r="AA21" i="70"/>
  <c r="AD24" i="73"/>
  <c r="AA10" i="73"/>
  <c r="AF10" i="73"/>
  <c r="AA26" i="73"/>
  <c r="AA23" i="73"/>
  <c r="AD22" i="73"/>
  <c r="AF22" i="73"/>
  <c r="AD21" i="73"/>
  <c r="AG21" i="73"/>
  <c r="AA20" i="73"/>
  <c r="AF20" i="73"/>
  <c r="AD19" i="73"/>
  <c r="AG19" i="73"/>
  <c r="AA18" i="73"/>
  <c r="AF18" i="73"/>
  <c r="AA17" i="73"/>
  <c r="AG17" i="73"/>
  <c r="AA16" i="73"/>
  <c r="AE16" i="73"/>
  <c r="AA14" i="73"/>
  <c r="AE14" i="73"/>
  <c r="AD13" i="73"/>
  <c r="AF13" i="73"/>
  <c r="AD12" i="73"/>
  <c r="AE12" i="73"/>
  <c r="AA11" i="73"/>
  <c r="AF11" i="73"/>
  <c r="AD17" i="73"/>
  <c r="AD16" i="73"/>
  <c r="AA8" i="73"/>
  <c r="AA19" i="73"/>
  <c r="AD18" i="73"/>
  <c r="AA12" i="73"/>
  <c r="AA13" i="73"/>
  <c r="AD14" i="73"/>
  <c r="AD9" i="73"/>
  <c r="AD11" i="73"/>
  <c r="AD10" i="73"/>
  <c r="AA37" i="70"/>
  <c r="AA45" i="70"/>
  <c r="AA40" i="70"/>
  <c r="AF16" i="70"/>
  <c r="AF42" i="70"/>
  <c r="AF39" i="70"/>
  <c r="AF41" i="70"/>
  <c r="AF34" i="70"/>
  <c r="AA43" i="70"/>
  <c r="AA38" i="70"/>
  <c r="AF13" i="70"/>
  <c r="AA17" i="70"/>
  <c r="AF33" i="70"/>
  <c r="AA33" i="70"/>
  <c r="AA13" i="70"/>
  <c r="AF17" i="70"/>
  <c r="AF12" i="70"/>
  <c r="AA15" i="70"/>
  <c r="AF15" i="70"/>
  <c r="AF29" i="70"/>
  <c r="AA16" i="70"/>
  <c r="AF11" i="70"/>
  <c r="AA11" i="70"/>
  <c r="AF9" i="70"/>
  <c r="AF10" i="70"/>
  <c r="AF32" i="70"/>
  <c r="AA32" i="70"/>
  <c r="AA12" i="70"/>
  <c r="AF24" i="70"/>
  <c r="AG36" i="70"/>
  <c r="AA36" i="70"/>
  <c r="AA20" i="70"/>
  <c r="AF25" i="70"/>
  <c r="AA18" i="70"/>
  <c r="AA30" i="70"/>
  <c r="AF28" i="70"/>
  <c r="AF37" i="70"/>
  <c r="AF26" i="70"/>
  <c r="AA23" i="70"/>
  <c r="AG32" i="70"/>
  <c r="AA10" i="70"/>
  <c r="AF8" i="70"/>
  <c r="AA14" i="70"/>
  <c r="AF47" i="70" l="1"/>
  <c r="AF49" i="70" s="1"/>
  <c r="AA47" i="70"/>
  <c r="AG47" i="70"/>
  <c r="AB49" i="70"/>
  <c r="AE49" i="70"/>
  <c r="AC49" i="70"/>
  <c r="AD49" i="70"/>
  <c r="T33" i="5" l="1"/>
  <c r="F33" i="5"/>
  <c r="T32" i="5"/>
  <c r="F32" i="5"/>
  <c r="T31" i="5"/>
  <c r="F31" i="5"/>
  <c r="T30" i="5"/>
  <c r="F30" i="5"/>
  <c r="T29" i="5"/>
  <c r="F29" i="5"/>
  <c r="T28" i="5"/>
  <c r="F28" i="5"/>
  <c r="T27" i="5"/>
  <c r="F27" i="5"/>
  <c r="T26" i="5"/>
  <c r="F26" i="5"/>
  <c r="T25" i="5"/>
  <c r="F25" i="5"/>
  <c r="T24" i="5"/>
  <c r="F24" i="5"/>
  <c r="T23" i="5"/>
  <c r="F23" i="5"/>
  <c r="T22" i="5"/>
  <c r="F22" i="5"/>
  <c r="T21" i="5"/>
  <c r="F21" i="5"/>
  <c r="T20" i="5"/>
  <c r="F20" i="5"/>
  <c r="T19" i="5"/>
  <c r="F19" i="5"/>
  <c r="T18" i="5"/>
  <c r="F18" i="5"/>
  <c r="T17" i="5"/>
  <c r="F17" i="5"/>
  <c r="T16" i="5"/>
  <c r="T15" i="5"/>
  <c r="F15" i="5"/>
  <c r="T14" i="5"/>
  <c r="F14" i="5"/>
  <c r="T13" i="5"/>
  <c r="F13" i="5"/>
  <c r="T12" i="5"/>
  <c r="F12" i="5"/>
  <c r="T11" i="5"/>
  <c r="F11" i="5"/>
  <c r="T10" i="5"/>
  <c r="F10" i="5"/>
  <c r="T9" i="5"/>
  <c r="F9" i="5"/>
  <c r="AC8" i="5"/>
  <c r="AB8" i="5"/>
  <c r="AA8" i="5"/>
  <c r="Z8" i="5"/>
  <c r="Y8" i="5"/>
  <c r="X8" i="5"/>
  <c r="W8" i="5"/>
  <c r="T8" i="5"/>
  <c r="F8" i="5"/>
  <c r="T7" i="5"/>
  <c r="F7" i="5"/>
  <c r="T6" i="5"/>
  <c r="F6" i="5"/>
  <c r="T5" i="5"/>
  <c r="F5" i="5"/>
  <c r="T4" i="5"/>
  <c r="F4" i="5"/>
  <c r="T3" i="5"/>
  <c r="F3" i="5"/>
  <c r="AH49" i="70" l="1"/>
  <c r="AD8" i="5"/>
  <c r="AG49" i="70" l="1"/>
  <c r="AA50" i="70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<sst xmlns="http://schemas.openxmlformats.org/spreadsheetml/2006/main" count="555" uniqueCount="201">
  <si>
    <t>BBS Ref:</t>
  </si>
  <si>
    <t>Bar Mark</t>
  </si>
  <si>
    <t>Description of Elements</t>
  </si>
  <si>
    <t>ø of Bars</t>
  </si>
  <si>
    <t>№of Elmts</t>
  </si>
  <si>
    <t>№of Bars</t>
  </si>
  <si>
    <t>Cutting length</t>
  </si>
  <si>
    <t>Code</t>
  </si>
  <si>
    <t>A</t>
  </si>
  <si>
    <t>B</t>
  </si>
  <si>
    <t>C</t>
  </si>
  <si>
    <t>D</t>
  </si>
  <si>
    <t>E</t>
  </si>
  <si>
    <t>F</t>
  </si>
  <si>
    <t>G</t>
  </si>
  <si>
    <t>H</t>
  </si>
  <si>
    <t>Shape</t>
  </si>
  <si>
    <t>Name of Project</t>
  </si>
  <si>
    <t>Name of Structure</t>
  </si>
  <si>
    <t>SUMMARY OF  REINFORCEMENT STEEL</t>
  </si>
  <si>
    <t>Size of bar</t>
  </si>
  <si>
    <t>Total</t>
  </si>
  <si>
    <t>Weight (Kg)</t>
  </si>
  <si>
    <t>Total №</t>
  </si>
  <si>
    <t>I</t>
  </si>
  <si>
    <t>J</t>
  </si>
  <si>
    <t>Manomav Engineers Pvt. Ltd</t>
  </si>
  <si>
    <t>Spacing</t>
  </si>
  <si>
    <t>No. of Laps</t>
  </si>
  <si>
    <t>Net Length (mm)</t>
  </si>
  <si>
    <t>Dia Wise Length (10mm)</t>
  </si>
  <si>
    <t>Dia Wise Length (8mm)</t>
  </si>
  <si>
    <t>Dia Wise Length (12mm)</t>
  </si>
  <si>
    <t>Dia Wise Length (16mm)</t>
  </si>
  <si>
    <t>Dia Wise Length (20mm)</t>
  </si>
  <si>
    <t>Dia Wise Length (25mm)</t>
  </si>
  <si>
    <t>Dia Wise Length (32mm)</t>
  </si>
  <si>
    <t>No. of 90 bend</t>
  </si>
  <si>
    <t>Deduction</t>
  </si>
  <si>
    <t>BAR BENDING SCHEDULE</t>
  </si>
  <si>
    <t xml:space="preserve">BBS No. :    </t>
  </si>
  <si>
    <t>Drawing no:</t>
  </si>
  <si>
    <t xml:space="preserve">Lap length : </t>
  </si>
  <si>
    <t xml:space="preserve">Location :      </t>
  </si>
  <si>
    <t xml:space="preserve">Grade of Concrete: </t>
  </si>
  <si>
    <t>Grade of Concrete:</t>
  </si>
  <si>
    <t xml:space="preserve">Member :     </t>
  </si>
  <si>
    <t>Prepared By:</t>
  </si>
  <si>
    <t>IR no:</t>
  </si>
  <si>
    <t>Checked By:</t>
  </si>
  <si>
    <t xml:space="preserve">Pour Card No: </t>
  </si>
  <si>
    <t>DATE:</t>
  </si>
  <si>
    <t>Grid</t>
  </si>
  <si>
    <t>Distribution</t>
  </si>
  <si>
    <t xml:space="preserve">Weight of Bar as per Dia </t>
  </si>
  <si>
    <t>Unit Wt(Di Wise)</t>
  </si>
  <si>
    <t>Total Length(Dia Wise)</t>
  </si>
  <si>
    <t>Total Wt (MT)</t>
  </si>
  <si>
    <t>S.No.</t>
  </si>
  <si>
    <t>RAFT AND FOOTING</t>
  </si>
  <si>
    <t>M-40</t>
  </si>
  <si>
    <t>Buniyad Bytes</t>
  </si>
  <si>
    <t>40D</t>
  </si>
  <si>
    <t>41GJ</t>
  </si>
  <si>
    <t>41F</t>
  </si>
  <si>
    <t>42S</t>
  </si>
  <si>
    <t>O25060-C-HP-02-RC-0003, O25060-C-HP-02-RC-0004</t>
  </si>
  <si>
    <t xml:space="preserve">LINAC 5 RAFT </t>
  </si>
  <si>
    <t>26SL</t>
  </si>
  <si>
    <t xml:space="preserve">LINAC 4, 3,2,1 RAFT </t>
  </si>
  <si>
    <t>COS11a</t>
  </si>
  <si>
    <t>41FA</t>
  </si>
  <si>
    <t>41FB</t>
  </si>
  <si>
    <t>107A</t>
  </si>
  <si>
    <t>FOR LINAC 8,7,6</t>
  </si>
  <si>
    <t>FOR LINAC 4,3,2,1</t>
  </si>
  <si>
    <t xml:space="preserve"> </t>
  </si>
  <si>
    <t>E1-01</t>
  </si>
  <si>
    <t>Top R/f Main Bar X-Direction</t>
  </si>
  <si>
    <t>E1-02</t>
  </si>
  <si>
    <t>E1*-638</t>
  </si>
  <si>
    <t>E1-03</t>
  </si>
  <si>
    <t>E1-18</t>
  </si>
  <si>
    <t>Top R/f Main Bar Y-Direction</t>
  </si>
  <si>
    <t>E1-637</t>
  </si>
  <si>
    <t>E1*-321</t>
  </si>
  <si>
    <t>E1-322</t>
  </si>
  <si>
    <t>E5-319</t>
  </si>
  <si>
    <t>E1-640</t>
  </si>
  <si>
    <t>E1*-5</t>
  </si>
  <si>
    <t>E1-641</t>
  </si>
  <si>
    <t>E1-36</t>
  </si>
  <si>
    <t>E1-06</t>
  </si>
  <si>
    <t>E1-07</t>
  </si>
  <si>
    <t>E1-08</t>
  </si>
  <si>
    <t xml:space="preserve">LINAC WALL RAFT </t>
  </si>
  <si>
    <t>E1-639</t>
  </si>
  <si>
    <t>E1-19</t>
  </si>
  <si>
    <t>18.12.2025</t>
  </si>
  <si>
    <t>FOR LINAC 1 SUNK PORTION OUTSIDE OF LINAC WALL</t>
  </si>
  <si>
    <t>LINAC WALL RAFT - Bars from outside of Raft</t>
  </si>
  <si>
    <t>C1-495</t>
  </si>
  <si>
    <t>C5#554</t>
  </si>
  <si>
    <t>C5#601</t>
  </si>
  <si>
    <t>E5-342</t>
  </si>
  <si>
    <t>D5-552</t>
  </si>
  <si>
    <t>C5#-98</t>
  </si>
  <si>
    <t>D5-553</t>
  </si>
  <si>
    <t>C5-555</t>
  </si>
  <si>
    <t>D5-288</t>
  </si>
  <si>
    <t>F5-202</t>
  </si>
  <si>
    <t>C5#-101</t>
  </si>
  <si>
    <t>F5-321</t>
  </si>
  <si>
    <t>C5#326</t>
  </si>
  <si>
    <t>F5#275</t>
  </si>
  <si>
    <t>C5#-547</t>
  </si>
  <si>
    <t>F5-279</t>
  </si>
  <si>
    <t>C5#-320</t>
  </si>
  <si>
    <t>A5#-319</t>
  </si>
  <si>
    <t>B5#-317</t>
  </si>
  <si>
    <t>G5#-263</t>
  </si>
  <si>
    <t>G5#-262</t>
  </si>
  <si>
    <t>E5#-162</t>
  </si>
  <si>
    <t>Bottom R/f  Bar X-Direction</t>
  </si>
  <si>
    <t>E5#-534</t>
  </si>
  <si>
    <t>D5-662</t>
  </si>
  <si>
    <t>Alt</t>
  </si>
  <si>
    <t>plain</t>
  </si>
  <si>
    <t>Alt plain</t>
  </si>
  <si>
    <t>Sunk</t>
  </si>
  <si>
    <t>38B</t>
  </si>
  <si>
    <t>83ST</t>
  </si>
  <si>
    <t>107SL</t>
  </si>
  <si>
    <t>38D</t>
  </si>
  <si>
    <t>41LJ</t>
  </si>
  <si>
    <t>33N</t>
  </si>
  <si>
    <t>37HT</t>
  </si>
  <si>
    <t>BBS Shop Drawing No. :</t>
  </si>
  <si>
    <t xml:space="preserve">Drawing no: </t>
  </si>
  <si>
    <t>Clear Cover</t>
  </si>
  <si>
    <t xml:space="preserve">Building / Floor Level :      </t>
  </si>
  <si>
    <t>ISSUED DATE:</t>
  </si>
  <si>
    <t>MAIN Contractor :</t>
  </si>
  <si>
    <t>L &amp; T Construction - (Buildings &amp; Factories)</t>
  </si>
  <si>
    <t>CLIENT:</t>
  </si>
  <si>
    <t>Nos of Member</t>
  </si>
  <si>
    <t>Dia Wise Length (40mm)</t>
  </si>
  <si>
    <t>61D</t>
  </si>
  <si>
    <t>Quantity Subjected To As Per The Execution</t>
  </si>
  <si>
    <t>Cutting Length</t>
  </si>
  <si>
    <t>z</t>
  </si>
  <si>
    <t>Sr. No.</t>
  </si>
  <si>
    <t>Bottom R/f Main Bar Y-Direction</t>
  </si>
  <si>
    <t>Bottom R/f Main Bar X-Direction</t>
  </si>
  <si>
    <t>O25060-C-HP-02-NU-0003
O25060-C-HP-02-RC-0004</t>
  </si>
  <si>
    <t>M40</t>
  </si>
  <si>
    <t>Add. Bottom R/f Main Bar X-Direction</t>
  </si>
  <si>
    <t>Add. Bottom R/f Main Bar Y-Direction</t>
  </si>
  <si>
    <t>38h</t>
  </si>
  <si>
    <t>Element</t>
  </si>
  <si>
    <t>Footing</t>
  </si>
  <si>
    <t>20HT</t>
  </si>
  <si>
    <t>CWF3</t>
  </si>
  <si>
    <t>G5#-12</t>
  </si>
  <si>
    <t>F5*-13</t>
  </si>
  <si>
    <t>G5-118</t>
  </si>
  <si>
    <t>G5#-14</t>
  </si>
  <si>
    <t>F5-09</t>
  </si>
  <si>
    <t>G5#-11</t>
  </si>
  <si>
    <t>G5#-46</t>
  </si>
  <si>
    <t>G5-08</t>
  </si>
  <si>
    <t>G5#-45</t>
  </si>
  <si>
    <t>F5#-10</t>
  </si>
  <si>
    <t>E5#-97</t>
  </si>
  <si>
    <t>Add. Top R/f Main Bar X-Direction</t>
  </si>
  <si>
    <t>D5#-80</t>
  </si>
  <si>
    <t>C5#-81</t>
  </si>
  <si>
    <t>E5#-95</t>
  </si>
  <si>
    <t>E5*-119</t>
  </si>
  <si>
    <t>F3-87</t>
  </si>
  <si>
    <t>E5*-98</t>
  </si>
  <si>
    <t>E5#-96</t>
  </si>
  <si>
    <t>Add. Top R/f Main Bar Y-Direction</t>
  </si>
  <si>
    <t>E5#-79</t>
  </si>
  <si>
    <t>F5#-94</t>
  </si>
  <si>
    <t>Shearwall
Dowel</t>
  </si>
  <si>
    <t>M1
a</t>
  </si>
  <si>
    <t>Vertical bar (Longer)</t>
  </si>
  <si>
    <t>Vertical bar (Shorter)</t>
  </si>
  <si>
    <t>M1
b</t>
  </si>
  <si>
    <t>M1
c</t>
  </si>
  <si>
    <t>S1</t>
  </si>
  <si>
    <t>Stirrup</t>
  </si>
  <si>
    <t>S2</t>
  </si>
  <si>
    <t>S3</t>
  </si>
  <si>
    <t>A
a</t>
  </si>
  <si>
    <t>C2a
a</t>
  </si>
  <si>
    <t>PY5
a</t>
  </si>
  <si>
    <t>PY5
b</t>
  </si>
  <si>
    <t>PY5
c</t>
  </si>
  <si>
    <t>11FT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</si>
</sst>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T#"/>
    <numFmt numFmtId="166" formatCode="#\ \№;;;"/>
    <numFmt numFmtId="167" formatCode="0&quot; mm&quot;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Tahoma"/>
      <family val="2"/>
    </font>
    <font>
      <b/>
      <u/>
      <sz val="12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1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color rgb="FFFF0000"/>
      <name val="Tahoma"/>
      <family val="2"/>
    </font>
    <font>
      <sz val="8"/>
      <color rgb="FFE3E3E3"/>
      <name val="Segoe UI Emoji"/>
      <family val="2"/>
    </font>
    <font>
      <sz val="9"/>
      <name val="Tahoma"/>
      <family val="2"/>
    </font>
    <font>
      <b/>
      <sz val="16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9" tint="0.59999389629810485"/>
      <name val="Arial"/>
      <family val="2"/>
    </font>
    <font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6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3" fillId="0" borderId="0">
      <alignment vertical="center"/>
    </xf>
    <xf numFmtId="0" fontId="2" fillId="23" borderId="7" applyNumberFormat="0" applyFont="0" applyAlignment="0" applyProtection="0"/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3" fillId="0" borderId="0"/>
    <xf numFmtId="0" fontId="2" fillId="0" borderId="0"/>
  </cellStyleXfs>
  <cellXfs count="207">
    <xf numFmtId="0" fontId="0" fillId="0" borderId="0" xfId="0"/>
    <xf numFmtId="0" fontId="3" fillId="0" borderId="0" xfId="37">
      <alignment vertical="center"/>
    </xf>
    <xf numFmtId="0" fontId="3" fillId="0" borderId="0" xfId="37" applyAlignment="1">
      <alignment horizontal="center" vertical="center"/>
    </xf>
    <xf numFmtId="0" fontId="3" fillId="0" borderId="0" xfId="37" applyAlignment="1">
      <alignment horizontal="center" vertical="center" wrapText="1"/>
    </xf>
    <xf numFmtId="0" fontId="3" fillId="0" borderId="10" xfId="37" applyBorder="1" applyAlignment="1">
      <alignment vertical="center" wrapText="1"/>
    </xf>
    <xf numFmtId="165" fontId="3" fillId="0" borderId="10" xfId="37" applyNumberFormat="1" applyBorder="1" applyAlignment="1">
      <alignment horizontal="center" vertical="center" shrinkToFit="1"/>
    </xf>
    <xf numFmtId="0" fontId="3" fillId="0" borderId="10" xfId="37" applyBorder="1" applyAlignment="1">
      <alignment horizontal="center" vertical="center" shrinkToFit="1"/>
    </xf>
    <xf numFmtId="166" fontId="3" fillId="0" borderId="10" xfId="37" applyNumberFormat="1" applyBorder="1" applyAlignment="1">
      <alignment horizontal="center" vertical="center" shrinkToFit="1"/>
    </xf>
    <xf numFmtId="0" fontId="3" fillId="0" borderId="10" xfId="37" applyBorder="1">
      <alignment vertical="center"/>
    </xf>
    <xf numFmtId="0" fontId="3" fillId="24" borderId="10" xfId="37" applyFill="1" applyBorder="1" applyAlignment="1">
      <alignment horizontal="center" vertical="center" shrinkToFit="1"/>
    </xf>
    <xf numFmtId="0" fontId="3" fillId="0" borderId="10" xfId="37" applyBorder="1" applyAlignment="1" applyProtection="1">
      <alignment horizontal="center" vertical="center" shrinkToFit="1"/>
      <protection hidden="1"/>
    </xf>
    <xf numFmtId="0" fontId="3" fillId="0" borderId="10" xfId="37" applyBorder="1" applyProtection="1">
      <alignment vertical="center"/>
      <protection locked="0"/>
    </xf>
    <xf numFmtId="0" fontId="4" fillId="0" borderId="0" xfId="37" applyFont="1" applyAlignment="1">
      <alignment horizontal="centerContinuous"/>
    </xf>
    <xf numFmtId="0" fontId="5" fillId="0" borderId="0" xfId="37" applyFont="1" applyAlignment="1">
      <alignment horizontal="centerContinuous" vertical="center"/>
    </xf>
    <xf numFmtId="0" fontId="4" fillId="0" borderId="0" xfId="37" applyFont="1" applyAlignment="1">
      <alignment horizontal="left" vertical="center"/>
    </xf>
    <xf numFmtId="0" fontId="6" fillId="0" borderId="11" xfId="37" applyFont="1" applyBorder="1" applyAlignment="1">
      <alignment horizontal="centerContinuous" vertical="center"/>
    </xf>
    <xf numFmtId="0" fontId="3" fillId="0" borderId="12" xfId="37" applyBorder="1" applyAlignment="1">
      <alignment horizontal="centerContinuous" vertical="center"/>
    </xf>
    <xf numFmtId="0" fontId="3" fillId="0" borderId="13" xfId="37" applyBorder="1" applyAlignment="1">
      <alignment horizontal="centerContinuous" vertical="center" wrapText="1"/>
    </xf>
    <xf numFmtId="0" fontId="7" fillId="0" borderId="14" xfId="37" applyFont="1" applyBorder="1">
      <alignment vertical="center"/>
    </xf>
    <xf numFmtId="165" fontId="8" fillId="0" borderId="15" xfId="37" applyNumberFormat="1" applyFont="1" applyBorder="1" applyAlignment="1">
      <alignment horizontal="center" vertical="center"/>
    </xf>
    <xf numFmtId="0" fontId="8" fillId="0" borderId="16" xfId="37" applyFont="1" applyBorder="1" applyAlignment="1">
      <alignment horizontal="center" vertical="center" shrinkToFit="1"/>
    </xf>
    <xf numFmtId="0" fontId="7" fillId="0" borderId="17" xfId="37" applyFont="1" applyBorder="1">
      <alignment vertical="center"/>
    </xf>
    <xf numFmtId="1" fontId="7" fillId="0" borderId="18" xfId="37" applyNumberFormat="1" applyFont="1" applyBorder="1" applyAlignment="1">
      <alignment horizontal="center" vertical="center"/>
    </xf>
    <xf numFmtId="1" fontId="7" fillId="0" borderId="19" xfId="37" applyNumberFormat="1" applyFont="1" applyBorder="1" applyAlignment="1">
      <alignment horizontal="center" vertical="center"/>
    </xf>
    <xf numFmtId="0" fontId="3" fillId="0" borderId="10" xfId="37" applyBorder="1" applyAlignment="1">
      <alignment horizontal="center" vertical="center" wrapText="1"/>
    </xf>
    <xf numFmtId="0" fontId="3" fillId="24" borderId="10" xfId="37" applyFill="1" applyBorder="1" applyAlignment="1">
      <alignment horizontal="center" vertical="center" wrapText="1"/>
    </xf>
    <xf numFmtId="164" fontId="3" fillId="0" borderId="10" xfId="37" applyNumberFormat="1" applyBorder="1" applyAlignment="1">
      <alignment horizontal="right" vertical="center" shrinkToFit="1"/>
    </xf>
    <xf numFmtId="0" fontId="3" fillId="0" borderId="0" xfId="37" applyAlignment="1">
      <alignment vertical="center" wrapText="1"/>
    </xf>
    <xf numFmtId="0" fontId="3" fillId="0" borderId="0" xfId="37" applyAlignment="1">
      <alignment horizontal="center" wrapText="1"/>
    </xf>
    <xf numFmtId="1" fontId="3" fillId="26" borderId="15" xfId="37" applyNumberFormat="1" applyFill="1" applyBorder="1" applyAlignment="1">
      <alignment horizontal="center" vertical="center" wrapText="1"/>
    </xf>
    <xf numFmtId="0" fontId="28" fillId="26" borderId="15" xfId="37" applyFont="1" applyFill="1" applyBorder="1" applyAlignment="1">
      <alignment horizontal="center" vertical="center" wrapText="1"/>
    </xf>
    <xf numFmtId="1" fontId="3" fillId="26" borderId="15" xfId="37" applyNumberFormat="1" applyFill="1" applyBorder="1" applyAlignment="1">
      <alignment horizontal="center" vertical="center" wrapText="1" shrinkToFit="1"/>
    </xf>
    <xf numFmtId="1" fontId="3" fillId="26" borderId="15" xfId="37" applyNumberFormat="1" applyFill="1" applyBorder="1" applyAlignment="1">
      <alignment horizontal="center" vertical="center" shrinkToFit="1"/>
    </xf>
    <xf numFmtId="0" fontId="3" fillId="26" borderId="0" xfId="37" applyFill="1" applyAlignment="1">
      <alignment horizontal="center" vertical="center" wrapText="1"/>
    </xf>
    <xf numFmtId="0" fontId="3" fillId="26" borderId="0" xfId="37" applyFill="1" applyAlignment="1">
      <alignment vertical="center" wrapText="1"/>
    </xf>
    <xf numFmtId="0" fontId="7" fillId="26" borderId="0" xfId="37" applyFont="1" applyFill="1" applyAlignment="1">
      <alignment horizontal="center" vertical="top" wrapText="1"/>
    </xf>
    <xf numFmtId="0" fontId="7" fillId="26" borderId="15" xfId="37" applyFont="1" applyFill="1" applyBorder="1" applyAlignment="1">
      <alignment horizontal="center" vertical="center" wrapText="1"/>
    </xf>
    <xf numFmtId="1" fontId="7" fillId="26" borderId="15" xfId="37" applyNumberFormat="1" applyFont="1" applyFill="1" applyBorder="1" applyAlignment="1">
      <alignment horizontal="center" vertical="center" wrapText="1" shrinkToFit="1"/>
    </xf>
    <xf numFmtId="0" fontId="7" fillId="26" borderId="0" xfId="37" applyFont="1" applyFill="1" applyAlignment="1">
      <alignment horizontal="center" vertical="center" wrapText="1"/>
    </xf>
    <xf numFmtId="0" fontId="0" fillId="0" borderId="10" xfId="0" applyBorder="1"/>
    <xf numFmtId="0" fontId="7" fillId="27" borderId="15" xfId="37" applyFont="1" applyFill="1" applyBorder="1" applyAlignment="1">
      <alignment horizontal="center" vertical="center" wrapText="1"/>
    </xf>
    <xf numFmtId="0" fontId="3" fillId="27" borderId="15" xfId="37" applyFill="1" applyBorder="1" applyAlignment="1">
      <alignment horizontal="center" vertical="center" wrapText="1"/>
    </xf>
    <xf numFmtId="0" fontId="3" fillId="26" borderId="15" xfId="37" applyFill="1" applyBorder="1" applyAlignment="1">
      <alignment horizontal="center" vertical="center" wrapText="1"/>
    </xf>
    <xf numFmtId="0" fontId="0" fillId="0" borderId="15" xfId="0" applyBorder="1"/>
    <xf numFmtId="0" fontId="26" fillId="25" borderId="22" xfId="0" applyFont="1" applyFill="1" applyBorder="1" applyAlignment="1">
      <alignment horizontal="center" vertical="center" wrapText="1"/>
    </xf>
    <xf numFmtId="14" fontId="26" fillId="25" borderId="22" xfId="0" applyNumberFormat="1" applyFont="1" applyFill="1" applyBorder="1" applyAlignment="1">
      <alignment horizontal="center" vertical="center" wrapText="1"/>
    </xf>
    <xf numFmtId="0" fontId="26" fillId="25" borderId="22" xfId="0" applyFont="1" applyFill="1" applyBorder="1" applyAlignment="1">
      <alignment horizontal="center" wrapText="1"/>
    </xf>
    <xf numFmtId="0" fontId="7" fillId="26" borderId="21" xfId="37" applyFont="1" applyFill="1" applyBorder="1" applyAlignment="1">
      <alignment horizontal="center" vertical="center" wrapText="1"/>
    </xf>
    <xf numFmtId="1" fontId="7" fillId="26" borderId="22" xfId="37" applyNumberFormat="1" applyFont="1" applyFill="1" applyBorder="1" applyAlignment="1">
      <alignment horizontal="center" vertical="center" wrapText="1" shrinkToFit="1"/>
    </xf>
    <xf numFmtId="0" fontId="3" fillId="26" borderId="21" xfId="37" applyFill="1" applyBorder="1" applyAlignment="1">
      <alignment horizontal="center" vertical="center" wrapText="1"/>
    </xf>
    <xf numFmtId="1" fontId="3" fillId="26" borderId="22" xfId="37" applyNumberFormat="1" applyFill="1" applyBorder="1" applyAlignment="1">
      <alignment horizontal="center" vertical="center" shrinkToFit="1"/>
    </xf>
    <xf numFmtId="0" fontId="28" fillId="26" borderId="23" xfId="37" applyFont="1" applyFill="1" applyBorder="1" applyAlignment="1">
      <alignment horizontal="center" vertical="center" wrapText="1"/>
    </xf>
    <xf numFmtId="0" fontId="3" fillId="0" borderId="15" xfId="37" applyBorder="1" applyAlignment="1">
      <alignment horizontal="left" vertical="center"/>
    </xf>
    <xf numFmtId="1" fontId="3" fillId="28" borderId="15" xfId="37" applyNumberFormat="1" applyFill="1" applyBorder="1" applyAlignment="1">
      <alignment horizontal="center" vertical="center"/>
    </xf>
    <xf numFmtId="1" fontId="3" fillId="0" borderId="15" xfId="37" applyNumberFormat="1" applyBorder="1" applyAlignment="1">
      <alignment horizontal="center" vertical="center"/>
    </xf>
    <xf numFmtId="1" fontId="3" fillId="29" borderId="15" xfId="37" applyNumberFormat="1" applyFill="1" applyBorder="1" applyAlignment="1">
      <alignment horizontal="center" vertical="center" wrapText="1" shrinkToFit="1"/>
    </xf>
    <xf numFmtId="1" fontId="3" fillId="29" borderId="15" xfId="37" applyNumberFormat="1" applyFill="1" applyBorder="1" applyAlignment="1">
      <alignment horizontal="center" vertical="center" shrinkToFit="1"/>
    </xf>
    <xf numFmtId="1" fontId="3" fillId="29" borderId="22" xfId="37" applyNumberFormat="1" applyFill="1" applyBorder="1" applyAlignment="1">
      <alignment horizontal="center" vertical="center" shrinkToFit="1"/>
    </xf>
    <xf numFmtId="0" fontId="28" fillId="26" borderId="24" xfId="37" applyFont="1" applyFill="1" applyBorder="1" applyAlignment="1">
      <alignment horizontal="center" vertical="center" wrapText="1"/>
    </xf>
    <xf numFmtId="0" fontId="28" fillId="26" borderId="25" xfId="37" applyFont="1" applyFill="1" applyBorder="1" applyAlignment="1">
      <alignment horizontal="center" vertical="center" wrapText="1"/>
    </xf>
    <xf numFmtId="1" fontId="28" fillId="26" borderId="25" xfId="37" applyNumberFormat="1" applyFont="1" applyFill="1" applyBorder="1" applyAlignment="1">
      <alignment horizontal="center" vertical="center" wrapText="1"/>
    </xf>
    <xf numFmtId="1" fontId="28" fillId="26" borderId="26" xfId="37" applyNumberFormat="1" applyFont="1" applyFill="1" applyBorder="1" applyAlignment="1">
      <alignment horizontal="center" vertical="center" wrapText="1"/>
    </xf>
    <xf numFmtId="0" fontId="3" fillId="0" borderId="20" xfId="37" applyBorder="1" applyAlignment="1">
      <alignment vertical="center" wrapText="1"/>
    </xf>
    <xf numFmtId="1" fontId="7" fillId="0" borderId="20" xfId="37" applyNumberFormat="1" applyFont="1" applyBorder="1" applyAlignment="1">
      <alignment horizontal="center" vertical="center" wrapText="1"/>
    </xf>
    <xf numFmtId="0" fontId="3" fillId="0" borderId="30" xfId="37" applyBorder="1" applyAlignment="1">
      <alignment vertical="center" wrapText="1"/>
    </xf>
    <xf numFmtId="0" fontId="28" fillId="26" borderId="31" xfId="37" applyFont="1" applyFill="1" applyBorder="1" applyAlignment="1">
      <alignment horizontal="center" vertical="center" wrapText="1"/>
    </xf>
    <xf numFmtId="0" fontId="28" fillId="30" borderId="32" xfId="37" applyFont="1" applyFill="1" applyBorder="1" applyAlignment="1">
      <alignment horizontal="left" vertical="center" wrapText="1"/>
    </xf>
    <xf numFmtId="0" fontId="28" fillId="30" borderId="33" xfId="37" applyFont="1" applyFill="1" applyBorder="1" applyAlignment="1">
      <alignment horizontal="left" vertical="center" wrapText="1"/>
    </xf>
    <xf numFmtId="0" fontId="28" fillId="30" borderId="34" xfId="37" applyFont="1" applyFill="1" applyBorder="1" applyAlignment="1">
      <alignment horizontal="left" vertical="center" wrapText="1"/>
    </xf>
    <xf numFmtId="0" fontId="28" fillId="30" borderId="35" xfId="37" applyFont="1" applyFill="1" applyBorder="1" applyAlignment="1">
      <alignment horizontal="left" vertical="center" wrapText="1"/>
    </xf>
    <xf numFmtId="0" fontId="1" fillId="25" borderId="15" xfId="0" applyFont="1" applyFill="1" applyBorder="1" applyAlignment="1">
      <alignment vertical="center" wrapText="1"/>
    </xf>
    <xf numFmtId="0" fontId="1" fillId="27" borderId="15" xfId="0" applyFont="1" applyFill="1" applyBorder="1" applyAlignment="1">
      <alignment vertical="center" wrapText="1"/>
    </xf>
    <xf numFmtId="0" fontId="0" fillId="28" borderId="0" xfId="0" applyFill="1" applyAlignment="1">
      <alignment horizontal="center" vertical="center"/>
    </xf>
    <xf numFmtId="1" fontId="32" fillId="26" borderId="15" xfId="37" applyNumberFormat="1" applyFont="1" applyFill="1" applyBorder="1" applyAlignment="1">
      <alignment horizontal="center" vertical="center" wrapText="1"/>
    </xf>
    <xf numFmtId="0" fontId="32" fillId="26" borderId="15" xfId="37" applyFont="1" applyFill="1" applyBorder="1" applyAlignment="1">
      <alignment horizontal="center" vertical="center" wrapText="1"/>
    </xf>
    <xf numFmtId="0" fontId="26" fillId="0" borderId="0" xfId="0" applyFont="1"/>
    <xf numFmtId="164" fontId="28" fillId="26" borderId="15" xfId="37" applyNumberFormat="1" applyFont="1" applyFill="1" applyBorder="1" applyAlignment="1">
      <alignment horizontal="center" vertical="center" wrapText="1"/>
    </xf>
    <xf numFmtId="164" fontId="28" fillId="26" borderId="22" xfId="37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" fillId="31" borderId="15" xfId="37" applyFill="1" applyBorder="1" applyAlignment="1">
      <alignment horizontal="center" vertical="center" wrapText="1"/>
    </xf>
    <xf numFmtId="1" fontId="0" fillId="0" borderId="0" xfId="0" applyNumberFormat="1"/>
    <xf numFmtId="0" fontId="0" fillId="0" borderId="39" xfId="0" applyBorder="1"/>
    <xf numFmtId="1" fontId="3" fillId="29" borderId="25" xfId="37" applyNumberFormat="1" applyFill="1" applyBorder="1" applyAlignment="1">
      <alignment horizontal="center" vertical="center" wrapText="1" shrinkToFit="1"/>
    </xf>
    <xf numFmtId="1" fontId="3" fillId="29" borderId="25" xfId="37" applyNumberFormat="1" applyFill="1" applyBorder="1" applyAlignment="1">
      <alignment horizontal="center" vertical="center" shrinkToFit="1"/>
    </xf>
    <xf numFmtId="1" fontId="3" fillId="29" borderId="26" xfId="37" applyNumberFormat="1" applyFill="1" applyBorder="1" applyAlignment="1">
      <alignment horizontal="center" vertical="center" shrinkToFit="1"/>
    </xf>
    <xf numFmtId="0" fontId="32" fillId="31" borderId="15" xfId="37" applyFont="1" applyFill="1" applyBorder="1" applyAlignment="1">
      <alignment horizontal="center" vertical="center" wrapText="1"/>
    </xf>
    <xf numFmtId="0" fontId="34" fillId="26" borderId="15" xfId="37" applyFont="1" applyFill="1" applyBorder="1" applyAlignment="1">
      <alignment horizontal="center" vertical="center" wrapText="1"/>
    </xf>
    <xf numFmtId="0" fontId="7" fillId="26" borderId="15" xfId="37" applyFont="1" applyFill="1" applyBorder="1" applyAlignment="1">
      <alignment horizontal="left" vertical="center"/>
    </xf>
    <xf numFmtId="0" fontId="3" fillId="0" borderId="15" xfId="37" applyBorder="1" applyAlignment="1">
      <alignment horizontal="left" vertical="center" wrapText="1"/>
    </xf>
    <xf numFmtId="0" fontId="3" fillId="0" borderId="15" xfId="37" applyBorder="1" applyAlignment="1">
      <alignment horizontal="center" vertical="center" wrapText="1"/>
    </xf>
    <xf numFmtId="0" fontId="32" fillId="0" borderId="15" xfId="37" applyFont="1" applyBorder="1" applyAlignment="1">
      <alignment horizontal="center" vertical="center" wrapText="1"/>
    </xf>
    <xf numFmtId="0" fontId="3" fillId="32" borderId="15" xfId="37" applyFill="1" applyBorder="1" applyAlignment="1">
      <alignment horizontal="center" vertical="center" wrapText="1"/>
    </xf>
    <xf numFmtId="0" fontId="2" fillId="0" borderId="0" xfId="0" applyFont="1"/>
    <xf numFmtId="0" fontId="36" fillId="30" borderId="15" xfId="0" applyFont="1" applyFill="1" applyBorder="1" applyAlignment="1">
      <alignment vertical="center"/>
    </xf>
    <xf numFmtId="0" fontId="27" fillId="30" borderId="15" xfId="0" applyFont="1" applyFill="1" applyBorder="1" applyAlignment="1">
      <alignment vertical="center"/>
    </xf>
    <xf numFmtId="0" fontId="27" fillId="30" borderId="15" xfId="0" applyFont="1" applyFill="1" applyBorder="1" applyAlignment="1">
      <alignment vertical="center" wrapText="1"/>
    </xf>
    <xf numFmtId="167" fontId="26" fillId="30" borderId="22" xfId="0" applyNumberFormat="1" applyFont="1" applyFill="1" applyBorder="1" applyAlignment="1">
      <alignment horizontal="center" vertical="center" wrapText="1"/>
    </xf>
    <xf numFmtId="0" fontId="7" fillId="0" borderId="0" xfId="37" applyFont="1" applyAlignment="1">
      <alignment horizontal="center" vertical="center" wrapText="1"/>
    </xf>
    <xf numFmtId="14" fontId="26" fillId="30" borderId="22" xfId="0" applyNumberFormat="1" applyFont="1" applyFill="1" applyBorder="1" applyAlignment="1">
      <alignment vertical="center"/>
    </xf>
    <xf numFmtId="0" fontId="26" fillId="30" borderId="22" xfId="0" applyFont="1" applyFill="1" applyBorder="1" applyAlignment="1">
      <alignment vertical="center"/>
    </xf>
    <xf numFmtId="0" fontId="27" fillId="30" borderId="15" xfId="0" applyFont="1" applyFill="1" applyBorder="1" applyAlignment="1">
      <alignment horizontal="left"/>
    </xf>
    <xf numFmtId="0" fontId="26" fillId="30" borderId="22" xfId="0" applyFont="1" applyFill="1" applyBorder="1"/>
    <xf numFmtId="0" fontId="7" fillId="30" borderId="21" xfId="37" applyFont="1" applyFill="1" applyBorder="1" applyAlignment="1">
      <alignment horizontal="center" vertical="center" wrapText="1"/>
    </xf>
    <xf numFmtId="0" fontId="7" fillId="30" borderId="15" xfId="37" applyFont="1" applyFill="1" applyBorder="1" applyAlignment="1">
      <alignment horizontal="center" vertical="center" wrapText="1"/>
    </xf>
    <xf numFmtId="1" fontId="7" fillId="30" borderId="15" xfId="37" applyNumberFormat="1" applyFont="1" applyFill="1" applyBorder="1" applyAlignment="1">
      <alignment horizontal="center" vertical="center" wrapText="1" shrinkToFit="1"/>
    </xf>
    <xf numFmtId="1" fontId="7" fillId="30" borderId="22" xfId="37" applyNumberFormat="1" applyFont="1" applyFill="1" applyBorder="1" applyAlignment="1">
      <alignment horizontal="center" vertical="center" wrapText="1" shrinkToFit="1"/>
    </xf>
    <xf numFmtId="0" fontId="7" fillId="0" borderId="0" xfId="37" applyFont="1" applyAlignment="1">
      <alignment horizontal="center" vertical="center"/>
    </xf>
    <xf numFmtId="0" fontId="3" fillId="0" borderId="21" xfId="37" applyBorder="1" applyAlignment="1">
      <alignment horizontal="center" vertical="center" wrapText="1"/>
    </xf>
    <xf numFmtId="0" fontId="3" fillId="0" borderId="15" xfId="37" applyBorder="1" applyAlignment="1">
      <alignment horizontal="center" vertical="center"/>
    </xf>
    <xf numFmtId="0" fontId="3" fillId="29" borderId="15" xfId="37" applyFill="1" applyBorder="1" applyAlignment="1">
      <alignment horizontal="center" vertical="center" wrapText="1"/>
    </xf>
    <xf numFmtId="0" fontId="3" fillId="28" borderId="15" xfId="37" applyFill="1" applyBorder="1" applyAlignment="1">
      <alignment horizontal="center" vertical="center"/>
    </xf>
    <xf numFmtId="1" fontId="3" fillId="29" borderId="42" xfId="37" applyNumberFormat="1" applyFill="1" applyBorder="1" applyAlignment="1">
      <alignment horizontal="center" vertical="center" shrinkToFit="1"/>
    </xf>
    <xf numFmtId="0" fontId="3" fillId="0" borderId="45" xfId="37" applyBorder="1" applyAlignment="1">
      <alignment horizontal="center" vertical="center"/>
    </xf>
    <xf numFmtId="0" fontId="3" fillId="0" borderId="45" xfId="37" applyBorder="1" applyAlignment="1">
      <alignment horizontal="left" vertical="center"/>
    </xf>
    <xf numFmtId="0" fontId="3" fillId="0" borderId="31" xfId="37" applyBorder="1">
      <alignment vertical="center"/>
    </xf>
    <xf numFmtId="0" fontId="28" fillId="29" borderId="15" xfId="37" applyFont="1" applyFill="1" applyBorder="1" applyAlignment="1">
      <alignment horizontal="left" vertical="center"/>
    </xf>
    <xf numFmtId="0" fontId="28" fillId="0" borderId="15" xfId="37" applyFont="1" applyBorder="1" applyAlignment="1">
      <alignment horizontal="center" vertical="center"/>
    </xf>
    <xf numFmtId="1" fontId="28" fillId="29" borderId="15" xfId="37" applyNumberFormat="1" applyFont="1" applyFill="1" applyBorder="1" applyAlignment="1">
      <alignment horizontal="center" vertical="center"/>
    </xf>
    <xf numFmtId="0" fontId="28" fillId="29" borderId="15" xfId="37" applyFont="1" applyFill="1" applyBorder="1" applyAlignment="1">
      <alignment horizontal="center" vertical="center"/>
    </xf>
    <xf numFmtId="164" fontId="28" fillId="29" borderId="15" xfId="37" applyNumberFormat="1" applyFont="1" applyFill="1" applyBorder="1" applyAlignment="1">
      <alignment horizontal="center" vertical="center"/>
    </xf>
    <xf numFmtId="164" fontId="28" fillId="29" borderId="42" xfId="37" applyNumberFormat="1" applyFont="1" applyFill="1" applyBorder="1" applyAlignment="1">
      <alignment horizontal="center" vertical="center"/>
    </xf>
    <xf numFmtId="0" fontId="28" fillId="29" borderId="22" xfId="37" applyFont="1" applyFill="1" applyBorder="1" applyAlignment="1">
      <alignment horizontal="center" vertical="center"/>
    </xf>
    <xf numFmtId="0" fontId="3" fillId="0" borderId="51" xfId="37" applyBorder="1">
      <alignment vertical="center"/>
    </xf>
    <xf numFmtId="0" fontId="3" fillId="0" borderId="56" xfId="37" applyBorder="1">
      <alignment vertical="center"/>
    </xf>
    <xf numFmtId="0" fontId="28" fillId="29" borderId="23" xfId="37" applyFont="1" applyFill="1" applyBorder="1" applyAlignment="1">
      <alignment horizontal="left" vertical="center"/>
    </xf>
    <xf numFmtId="0" fontId="28" fillId="0" borderId="23" xfId="37" applyFont="1" applyBorder="1" applyAlignment="1">
      <alignment horizontal="center" vertical="center"/>
    </xf>
    <xf numFmtId="0" fontId="3" fillId="0" borderId="0" xfId="37" applyAlignment="1">
      <alignment horizontal="left" vertical="center"/>
    </xf>
    <xf numFmtId="164" fontId="3" fillId="0" borderId="0" xfId="37" applyNumberFormat="1" applyAlignment="1">
      <alignment horizontal="center" vertical="center"/>
    </xf>
    <xf numFmtId="1" fontId="7" fillId="0" borderId="15" xfId="37" applyNumberFormat="1" applyFont="1" applyBorder="1" applyAlignment="1">
      <alignment horizontal="center" vertical="center"/>
    </xf>
    <xf numFmtId="0" fontId="3" fillId="28" borderId="45" xfId="37" applyFill="1" applyBorder="1" applyAlignment="1">
      <alignment horizontal="center" vertical="center"/>
    </xf>
    <xf numFmtId="1" fontId="3" fillId="28" borderId="58" xfId="37" applyNumberFormat="1" applyFill="1" applyBorder="1" applyAlignment="1">
      <alignment horizontal="center" vertical="center"/>
    </xf>
    <xf numFmtId="0" fontId="3" fillId="0" borderId="15" xfId="37" applyFill="1" applyBorder="1" applyAlignment="1">
      <alignment horizontal="center" vertical="center"/>
    </xf>
    <xf numFmtId="0" fontId="3" fillId="0" borderId="15" xfId="37" applyFill="1" applyBorder="1" applyAlignment="1">
      <alignment horizontal="center" vertical="center" wrapText="1"/>
    </xf>
    <xf numFmtId="0" fontId="36" fillId="30" borderId="15" xfId="0" applyFont="1" applyFill="1" applyBorder="1" applyAlignment="1">
      <alignment horizontal="left" vertical="center"/>
    </xf>
    <xf numFmtId="0" fontId="27" fillId="30" borderId="15" xfId="0" applyFont="1" applyFill="1" applyBorder="1" applyAlignment="1">
      <alignment horizontal="left" vertical="center"/>
    </xf>
    <xf numFmtId="0" fontId="3" fillId="0" borderId="0" xfId="37" applyAlignment="1">
      <alignment horizontal="center" vertical="center"/>
    </xf>
    <xf numFmtId="0" fontId="3" fillId="0" borderId="45" xfId="37" applyFill="1" applyBorder="1" applyAlignment="1">
      <alignment horizontal="center" vertical="center"/>
    </xf>
    <xf numFmtId="0" fontId="3" fillId="0" borderId="45" xfId="37" applyBorder="1" applyAlignment="1">
      <alignment horizontal="left" vertical="center" wrapText="1"/>
    </xf>
    <xf numFmtId="1" fontId="3" fillId="28" borderId="45" xfId="37" applyNumberFormat="1" applyFill="1" applyBorder="1" applyAlignment="1">
      <alignment horizontal="center" vertical="center"/>
    </xf>
    <xf numFmtId="0" fontId="3" fillId="28" borderId="59" xfId="37" applyFill="1" applyBorder="1" applyAlignment="1">
      <alignment horizontal="center" vertical="center"/>
    </xf>
    <xf numFmtId="0" fontId="3" fillId="28" borderId="45" xfId="37" applyFill="1" applyBorder="1">
      <alignment vertical="center"/>
    </xf>
    <xf numFmtId="0" fontId="3" fillId="28" borderId="15" xfId="37" applyFill="1" applyBorder="1">
      <alignment vertical="center"/>
    </xf>
    <xf numFmtId="1" fontId="3" fillId="28" borderId="60" xfId="37" applyNumberFormat="1" applyFill="1" applyBorder="1" applyAlignment="1">
      <alignment horizontal="center" vertical="center"/>
    </xf>
    <xf numFmtId="0" fontId="3" fillId="0" borderId="45" xfId="37" applyFill="1" applyBorder="1" applyAlignment="1">
      <alignment horizontal="center" vertical="center" wrapText="1"/>
    </xf>
    <xf numFmtId="0" fontId="29" fillId="25" borderId="21" xfId="0" applyFont="1" applyFill="1" applyBorder="1" applyAlignment="1">
      <alignment horizontal="left" vertical="center" wrapText="1"/>
    </xf>
    <xf numFmtId="0" fontId="29" fillId="25" borderId="15" xfId="0" applyFont="1" applyFill="1" applyBorder="1" applyAlignment="1">
      <alignment horizontal="left" vertical="center" wrapText="1"/>
    </xf>
    <xf numFmtId="0" fontId="31" fillId="25" borderId="15" xfId="0" applyFont="1" applyFill="1" applyBorder="1" applyAlignment="1">
      <alignment horizontal="left" vertical="center" wrapText="1"/>
    </xf>
    <xf numFmtId="0" fontId="26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wrapText="1"/>
    </xf>
    <xf numFmtId="164" fontId="28" fillId="26" borderId="27" xfId="37" applyNumberFormat="1" applyFont="1" applyFill="1" applyBorder="1" applyAlignment="1">
      <alignment horizontal="center" vertical="center" wrapText="1"/>
    </xf>
    <xf numFmtId="164" fontId="28" fillId="26" borderId="28" xfId="37" applyNumberFormat="1" applyFont="1" applyFill="1" applyBorder="1" applyAlignment="1">
      <alignment horizontal="center" vertical="center" wrapText="1"/>
    </xf>
    <xf numFmtId="164" fontId="28" fillId="26" borderId="29" xfId="37" applyNumberFormat="1" applyFont="1" applyFill="1" applyBorder="1" applyAlignment="1">
      <alignment horizontal="center" vertical="center" wrapText="1"/>
    </xf>
    <xf numFmtId="0" fontId="30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vertical="center" wrapText="1"/>
    </xf>
    <xf numFmtId="0" fontId="30" fillId="28" borderId="36" xfId="0" applyFont="1" applyFill="1" applyBorder="1" applyAlignment="1">
      <alignment horizontal="center" vertical="center" wrapText="1"/>
    </xf>
    <xf numFmtId="0" fontId="30" fillId="28" borderId="37" xfId="0" applyFont="1" applyFill="1" applyBorder="1" applyAlignment="1">
      <alignment horizontal="center" vertical="center" wrapText="1"/>
    </xf>
    <xf numFmtId="0" fontId="30" fillId="28" borderId="38" xfId="0" applyFont="1" applyFill="1" applyBorder="1" applyAlignment="1">
      <alignment horizontal="center" vertical="center" wrapText="1"/>
    </xf>
    <xf numFmtId="0" fontId="3" fillId="0" borderId="46" xfId="37" applyBorder="1" applyAlignment="1">
      <alignment horizontal="center" vertical="center"/>
    </xf>
    <xf numFmtId="0" fontId="3" fillId="0" borderId="47" xfId="37" applyBorder="1" applyAlignment="1">
      <alignment horizontal="center" vertical="center"/>
    </xf>
    <xf numFmtId="0" fontId="3" fillId="0" borderId="49" xfId="37" applyBorder="1" applyAlignment="1">
      <alignment horizontal="center" vertical="center"/>
    </xf>
    <xf numFmtId="0" fontId="3" fillId="0" borderId="0" xfId="37" applyAlignment="1">
      <alignment horizontal="center" vertical="center"/>
    </xf>
    <xf numFmtId="0" fontId="3" fillId="0" borderId="53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0" xfId="37" applyBorder="1" applyAlignment="1">
      <alignment horizontal="center" vertical="center"/>
    </xf>
    <xf numFmtId="0" fontId="3" fillId="0" borderId="48" xfId="37" applyBorder="1" applyAlignment="1">
      <alignment horizontal="center" vertical="center"/>
    </xf>
    <xf numFmtId="0" fontId="3" fillId="0" borderId="50" xfId="37" applyBorder="1" applyAlignment="1">
      <alignment horizontal="center" vertical="center"/>
    </xf>
    <xf numFmtId="0" fontId="3" fillId="0" borderId="55" xfId="37" applyBorder="1" applyAlignment="1">
      <alignment horizontal="center" vertical="center"/>
    </xf>
    <xf numFmtId="0" fontId="28" fillId="29" borderId="42" xfId="37" applyFont="1" applyFill="1" applyBorder="1" applyAlignment="1">
      <alignment horizontal="center" vertical="center"/>
    </xf>
    <xf numFmtId="0" fontId="28" fillId="29" borderId="43" xfId="37" applyFont="1" applyFill="1" applyBorder="1" applyAlignment="1">
      <alignment horizontal="center" vertical="center"/>
    </xf>
    <xf numFmtId="0" fontId="28" fillId="29" borderId="52" xfId="37" applyFont="1" applyFill="1" applyBorder="1" applyAlignment="1">
      <alignment horizontal="center" vertical="center"/>
    </xf>
    <xf numFmtId="164" fontId="28" fillId="29" borderId="23" xfId="37" applyNumberFormat="1" applyFont="1" applyFill="1" applyBorder="1" applyAlignment="1">
      <alignment horizontal="center" vertical="center"/>
    </xf>
    <xf numFmtId="164" fontId="28" fillId="29" borderId="24" xfId="37" applyNumberFormat="1" applyFont="1" applyFill="1" applyBorder="1" applyAlignment="1">
      <alignment horizontal="center" vertical="center"/>
    </xf>
    <xf numFmtId="164" fontId="28" fillId="29" borderId="57" xfId="37" applyNumberFormat="1" applyFont="1" applyFill="1" applyBorder="1" applyAlignment="1">
      <alignment horizontal="center" vertical="center"/>
    </xf>
    <xf numFmtId="0" fontId="27" fillId="30" borderId="15" xfId="0" applyFont="1" applyFill="1" applyBorder="1" applyAlignment="1">
      <alignment horizontal="left" vertical="center"/>
    </xf>
    <xf numFmtId="0" fontId="36" fillId="30" borderId="44" xfId="0" applyFont="1" applyFill="1" applyBorder="1" applyAlignment="1">
      <alignment horizontal="left" vertical="center"/>
    </xf>
    <xf numFmtId="0" fontId="36" fillId="30" borderId="31" xfId="0" applyFont="1" applyFill="1" applyBorder="1" applyAlignment="1">
      <alignment horizontal="left" vertical="center"/>
    </xf>
    <xf numFmtId="0" fontId="36" fillId="30" borderId="42" xfId="0" applyFont="1" applyFill="1" applyBorder="1" applyAlignment="1">
      <alignment horizontal="left" vertical="center"/>
    </xf>
    <xf numFmtId="0" fontId="36" fillId="30" borderId="43" xfId="0" applyFont="1" applyFill="1" applyBorder="1" applyAlignment="1">
      <alignment horizontal="left" vertical="center"/>
    </xf>
    <xf numFmtId="0" fontId="38" fillId="30" borderId="42" xfId="0" applyFont="1" applyFill="1" applyBorder="1" applyAlignment="1">
      <alignment horizontal="center" vertical="center"/>
    </xf>
    <xf numFmtId="0" fontId="38" fillId="30" borderId="43" xfId="0" applyFont="1" applyFill="1" applyBorder="1" applyAlignment="1">
      <alignment horizontal="center" vertical="center"/>
    </xf>
    <xf numFmtId="0" fontId="38" fillId="30" borderId="31" xfId="0" applyFont="1" applyFill="1" applyBorder="1" applyAlignment="1">
      <alignment horizontal="center" vertical="center"/>
    </xf>
    <xf numFmtId="0" fontId="27" fillId="30" borderId="42" xfId="0" applyFont="1" applyFill="1" applyBorder="1" applyAlignment="1">
      <alignment horizontal="left" vertical="center"/>
    </xf>
    <xf numFmtId="0" fontId="27" fillId="30" borderId="43" xfId="0" applyFont="1" applyFill="1" applyBorder="1" applyAlignment="1">
      <alignment horizontal="left" vertical="center"/>
    </xf>
    <xf numFmtId="0" fontId="27" fillId="30" borderId="31" xfId="0" applyFont="1" applyFill="1" applyBorder="1" applyAlignment="1">
      <alignment horizontal="left" vertical="center"/>
    </xf>
    <xf numFmtId="0" fontId="26" fillId="30" borderId="42" xfId="0" applyFont="1" applyFill="1" applyBorder="1" applyAlignment="1">
      <alignment horizontal="left" vertical="center"/>
    </xf>
    <xf numFmtId="0" fontId="26" fillId="30" borderId="43" xfId="0" applyFont="1" applyFill="1" applyBorder="1" applyAlignment="1">
      <alignment horizontal="left" vertical="center"/>
    </xf>
    <xf numFmtId="0" fontId="26" fillId="30" borderId="31" xfId="0" applyFont="1" applyFill="1" applyBorder="1" applyAlignment="1">
      <alignment horizontal="left" vertical="center"/>
    </xf>
    <xf numFmtId="0" fontId="27" fillId="30" borderId="42" xfId="0" applyFont="1" applyFill="1" applyBorder="1" applyAlignment="1">
      <alignment horizontal="left"/>
    </xf>
    <xf numFmtId="0" fontId="27" fillId="30" borderId="43" xfId="0" applyFont="1" applyFill="1" applyBorder="1" applyAlignment="1">
      <alignment horizontal="left"/>
    </xf>
    <xf numFmtId="0" fontId="27" fillId="30" borderId="31" xfId="0" applyFont="1" applyFill="1" applyBorder="1" applyAlignment="1">
      <alignment horizontal="left"/>
    </xf>
    <xf numFmtId="0" fontId="36" fillId="30" borderId="21" xfId="0" applyFont="1" applyFill="1" applyBorder="1" applyAlignment="1">
      <alignment horizontal="left" vertical="center"/>
    </xf>
    <xf numFmtId="0" fontId="36" fillId="30" borderId="15" xfId="0" applyFont="1" applyFill="1" applyBorder="1" applyAlignment="1">
      <alignment horizontal="left" vertical="center"/>
    </xf>
    <xf numFmtId="0" fontId="36" fillId="30" borderId="42" xfId="0" applyFont="1" applyFill="1" applyBorder="1" applyAlignment="1">
      <alignment horizontal="center" vertical="center"/>
    </xf>
    <xf numFmtId="0" fontId="36" fillId="30" borderId="43" xfId="0" applyFont="1" applyFill="1" applyBorder="1" applyAlignment="1">
      <alignment horizontal="center" vertical="center"/>
    </xf>
    <xf numFmtId="0" fontId="36" fillId="30" borderId="31" xfId="0" applyFont="1" applyFill="1" applyBorder="1" applyAlignment="1">
      <alignment horizontal="center" vertical="center"/>
    </xf>
    <xf numFmtId="0" fontId="26" fillId="30" borderId="15" xfId="0" applyFont="1" applyFill="1" applyBorder="1" applyAlignment="1">
      <alignment horizontal="left" vertical="center"/>
    </xf>
    <xf numFmtId="0" fontId="26" fillId="30" borderId="42" xfId="0" applyFont="1" applyFill="1" applyBorder="1" applyAlignment="1">
      <alignment vertical="center"/>
    </xf>
    <xf numFmtId="0" fontId="26" fillId="30" borderId="43" xfId="0" applyFont="1" applyFill="1" applyBorder="1" applyAlignment="1">
      <alignment vertical="center"/>
    </xf>
    <xf numFmtId="0" fontId="26" fillId="30" borderId="31" xfId="0" applyFont="1" applyFill="1" applyBorder="1" applyAlignment="1">
      <alignment vertical="center"/>
    </xf>
    <xf numFmtId="0" fontId="35" fillId="30" borderId="40" xfId="0" applyFont="1" applyFill="1" applyBorder="1" applyAlignment="1">
      <alignment horizontal="center" vertical="center"/>
    </xf>
    <xf numFmtId="0" fontId="35" fillId="30" borderId="20" xfId="0" applyFont="1" applyFill="1" applyBorder="1" applyAlignment="1">
      <alignment horizontal="center" vertical="center"/>
    </xf>
    <xf numFmtId="0" fontId="35" fillId="30" borderId="41" xfId="0" applyFont="1" applyFill="1" applyBorder="1" applyAlignment="1">
      <alignment horizontal="center" vertical="center"/>
    </xf>
    <xf numFmtId="0" fontId="37" fillId="30" borderId="15" xfId="0" applyFont="1" applyFill="1" applyBorder="1" applyAlignment="1">
      <alignment horizontal="left" vertical="center"/>
    </xf>
    <xf numFmtId="0" fontId="27" fillId="30" borderId="42" xfId="0" applyFont="1" applyFill="1" applyBorder="1" applyAlignment="1">
      <alignment vertical="center"/>
    </xf>
    <xf numFmtId="0" fontId="27" fillId="30" borderId="43" xfId="0" applyFont="1" applyFill="1" applyBorder="1" applyAlignment="1">
      <alignment vertical="center"/>
    </xf>
    <xf numFmtId="0" fontId="27" fillId="30" borderId="31" xfId="0" applyFont="1" applyFill="1" applyBorder="1" applyAlignment="1">
      <alignment vertical="center"/>
    </xf>
    <xf numFmtId="0" fontId="26" fillId="30" borderId="15" xfId="0" applyFont="1" applyFill="1" applyBorder="1" applyAlignment="1">
      <alignment horizontal="left" vertical="center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 xr:uid="{00000000-0005-0000-0000-000025000000}"/>
    <cellStyle name="Normal 3" xfId="44" xr:uid="{00000000-0005-0000-0000-000026000000}"/>
    <cellStyle name="Normal_BBS Format" xfId="37" xr:uid="{00000000-0005-0000-0000-000027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colors>
    <mruColors>
      <color rgb="FFCCF8F7"/>
      <color rgb="FF8EF0EE"/>
      <color rgb="FFE1FB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2.png"/><Relationship Id="rId2" Type="http://schemas.openxmlformats.org/officeDocument/2006/relationships/image" Target="../media/image6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6.png"/><Relationship Id="rId1" Type="http://schemas.openxmlformats.org/officeDocument/2006/relationships/image" Target="../media/image7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8.png"/><Relationship Id="rId18" Type="http://schemas.openxmlformats.org/officeDocument/2006/relationships/image" Target="../media/image3.png"/><Relationship Id="rId26" Type="http://schemas.openxmlformats.org/officeDocument/2006/relationships/image" Target="../media/image46.png"/><Relationship Id="rId39" Type="http://schemas.openxmlformats.org/officeDocument/2006/relationships/image" Target="../media/image58.png"/><Relationship Id="rId21" Type="http://schemas.openxmlformats.org/officeDocument/2006/relationships/image" Target="../media/image2.png"/><Relationship Id="rId34" Type="http://schemas.openxmlformats.org/officeDocument/2006/relationships/image" Target="../media/image53.png"/><Relationship Id="rId42" Type="http://schemas.openxmlformats.org/officeDocument/2006/relationships/image" Target="../media/image24.png"/><Relationship Id="rId47" Type="http://schemas.openxmlformats.org/officeDocument/2006/relationships/image" Target="../media/image25.png"/><Relationship Id="rId50" Type="http://schemas.openxmlformats.org/officeDocument/2006/relationships/image" Target="../media/image65.png"/><Relationship Id="rId55" Type="http://schemas.openxmlformats.org/officeDocument/2006/relationships/image" Target="../media/image28.png"/><Relationship Id="rId7" Type="http://schemas.openxmlformats.org/officeDocument/2006/relationships/image" Target="../media/image34.png"/><Relationship Id="rId2" Type="http://schemas.openxmlformats.org/officeDocument/2006/relationships/image" Target="../media/image31.png"/><Relationship Id="rId16" Type="http://schemas.openxmlformats.org/officeDocument/2006/relationships/image" Target="../media/image11.png"/><Relationship Id="rId29" Type="http://schemas.openxmlformats.org/officeDocument/2006/relationships/image" Target="../media/image23.png"/><Relationship Id="rId11" Type="http://schemas.openxmlformats.org/officeDocument/2006/relationships/image" Target="../media/image36.png"/><Relationship Id="rId24" Type="http://schemas.openxmlformats.org/officeDocument/2006/relationships/image" Target="../media/image44.emf"/><Relationship Id="rId32" Type="http://schemas.openxmlformats.org/officeDocument/2006/relationships/image" Target="../media/image51.emf"/><Relationship Id="rId37" Type="http://schemas.openxmlformats.org/officeDocument/2006/relationships/image" Target="../media/image56.png"/><Relationship Id="rId40" Type="http://schemas.openxmlformats.org/officeDocument/2006/relationships/image" Target="../media/image59.png"/><Relationship Id="rId45" Type="http://schemas.openxmlformats.org/officeDocument/2006/relationships/image" Target="../media/image27.png"/><Relationship Id="rId53" Type="http://schemas.openxmlformats.org/officeDocument/2006/relationships/image" Target="../media/image68.png"/><Relationship Id="rId5" Type="http://schemas.openxmlformats.org/officeDocument/2006/relationships/image" Target="../media/image12.png"/><Relationship Id="rId19" Type="http://schemas.openxmlformats.org/officeDocument/2006/relationships/image" Target="../media/image4.png"/><Relationship Id="rId4" Type="http://schemas.openxmlformats.org/officeDocument/2006/relationships/image" Target="../media/image32.png"/><Relationship Id="rId9" Type="http://schemas.openxmlformats.org/officeDocument/2006/relationships/image" Target="../media/image9.emf"/><Relationship Id="rId14" Type="http://schemas.openxmlformats.org/officeDocument/2006/relationships/image" Target="../media/image39.png"/><Relationship Id="rId22" Type="http://schemas.openxmlformats.org/officeDocument/2006/relationships/image" Target="../media/image42.emf"/><Relationship Id="rId27" Type="http://schemas.openxmlformats.org/officeDocument/2006/relationships/image" Target="../media/image47.png"/><Relationship Id="rId30" Type="http://schemas.openxmlformats.org/officeDocument/2006/relationships/image" Target="../media/image49.emf"/><Relationship Id="rId35" Type="http://schemas.openxmlformats.org/officeDocument/2006/relationships/image" Target="../media/image54.png"/><Relationship Id="rId43" Type="http://schemas.openxmlformats.org/officeDocument/2006/relationships/image" Target="../media/image26.png"/><Relationship Id="rId48" Type="http://schemas.openxmlformats.org/officeDocument/2006/relationships/image" Target="../media/image63.png"/><Relationship Id="rId56" Type="http://schemas.openxmlformats.org/officeDocument/2006/relationships/image" Target="../media/image70.png"/><Relationship Id="rId8" Type="http://schemas.openxmlformats.org/officeDocument/2006/relationships/image" Target="../media/image35.png"/><Relationship Id="rId51" Type="http://schemas.openxmlformats.org/officeDocument/2006/relationships/image" Target="../media/image66.png"/><Relationship Id="rId3" Type="http://schemas.openxmlformats.org/officeDocument/2006/relationships/image" Target="../media/image7.png"/><Relationship Id="rId12" Type="http://schemas.openxmlformats.org/officeDocument/2006/relationships/image" Target="../media/image37.png"/><Relationship Id="rId17" Type="http://schemas.openxmlformats.org/officeDocument/2006/relationships/image" Target="../media/image41.png"/><Relationship Id="rId25" Type="http://schemas.openxmlformats.org/officeDocument/2006/relationships/image" Target="../media/image45.png"/><Relationship Id="rId33" Type="http://schemas.openxmlformats.org/officeDocument/2006/relationships/image" Target="../media/image52.emf"/><Relationship Id="rId38" Type="http://schemas.openxmlformats.org/officeDocument/2006/relationships/image" Target="../media/image57.png"/><Relationship Id="rId46" Type="http://schemas.openxmlformats.org/officeDocument/2006/relationships/image" Target="../media/image62.png"/><Relationship Id="rId20" Type="http://schemas.openxmlformats.org/officeDocument/2006/relationships/image" Target="../media/image10.png"/><Relationship Id="rId41" Type="http://schemas.openxmlformats.org/officeDocument/2006/relationships/image" Target="../media/image60.png"/><Relationship Id="rId54" Type="http://schemas.openxmlformats.org/officeDocument/2006/relationships/image" Target="../media/image69.png"/><Relationship Id="rId1" Type="http://schemas.openxmlformats.org/officeDocument/2006/relationships/image" Target="../media/image6.png"/><Relationship Id="rId6" Type="http://schemas.openxmlformats.org/officeDocument/2006/relationships/image" Target="../media/image33.png"/><Relationship Id="rId15" Type="http://schemas.openxmlformats.org/officeDocument/2006/relationships/image" Target="../media/image40.png"/><Relationship Id="rId23" Type="http://schemas.openxmlformats.org/officeDocument/2006/relationships/image" Target="../media/image43.emf"/><Relationship Id="rId28" Type="http://schemas.openxmlformats.org/officeDocument/2006/relationships/image" Target="../media/image48.emf"/><Relationship Id="rId36" Type="http://schemas.openxmlformats.org/officeDocument/2006/relationships/image" Target="../media/image55.png"/><Relationship Id="rId49" Type="http://schemas.openxmlformats.org/officeDocument/2006/relationships/image" Target="../media/image64.png"/><Relationship Id="rId57" Type="http://schemas.openxmlformats.org/officeDocument/2006/relationships/image" Target="../media/image29.png"/><Relationship Id="rId10" Type="http://schemas.openxmlformats.org/officeDocument/2006/relationships/image" Target="../media/image8.png"/><Relationship Id="rId31" Type="http://schemas.openxmlformats.org/officeDocument/2006/relationships/image" Target="../media/image50.png"/><Relationship Id="rId44" Type="http://schemas.openxmlformats.org/officeDocument/2006/relationships/image" Target="../media/image61.png"/><Relationship Id="rId52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13" Type="http://schemas.openxmlformats.org/officeDocument/2006/relationships/image" Target="../media/image83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12" Type="http://schemas.openxmlformats.org/officeDocument/2006/relationships/image" Target="../media/image82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11" Type="http://schemas.openxmlformats.org/officeDocument/2006/relationships/image" Target="../media/image81.emf"/><Relationship Id="rId5" Type="http://schemas.openxmlformats.org/officeDocument/2006/relationships/image" Target="../media/image75.emf"/><Relationship Id="rId10" Type="http://schemas.openxmlformats.org/officeDocument/2006/relationships/image" Target="../media/image80.emf"/><Relationship Id="rId4" Type="http://schemas.openxmlformats.org/officeDocument/2006/relationships/image" Target="../media/image74.emf"/><Relationship Id="rId9" Type="http://schemas.openxmlformats.org/officeDocument/2006/relationships/image" Target="../media/image79.emf"/><Relationship Id="rId14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1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2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6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7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0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1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2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3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4" name="Picture 1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5" name="Picture 13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26" name="Picture 14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7" name="Picture 15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8" name="Picture 16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9" name="Picture 17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0" name="Picture 18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1" name="Picture 1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2" name="Picture 20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3" name="Picture 2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4" name="Picture 22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5" name="Picture 23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6" name="Picture 24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7" name="Picture 2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8" name="Picture 3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9" name="Picture 3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0" name="Picture 32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1" name="Picture 3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2" name="Picture 4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3" name="Picture 43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4" name="Picture 44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5" name="Picture 45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8" name="Picture 18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9" name="Picture 19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0" name="Picture 1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1" name="Picture 19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0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1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2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3" name="Picture 13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4" name="Picture 16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5" name="Picture 17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99" name="Picture 13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0" name="Picture 17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7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28" name="Picture 12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0" name="Picture 12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5" name="Picture 20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6" name="Picture 23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7" name="Picture 2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8" name="Picture 25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0" name="Picture 12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1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2" name="Picture 12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7" name="Picture 12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1" name="Picture 12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3" name="Picture 12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8" name="Picture 20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9" name="Picture 23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0" name="Picture 24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1" name="Picture 25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3" name="Picture 1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5" name="Picture 12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1" name="Picture 12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3" name="Picture 1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1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3" name="Picture 1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7" name="Picture 12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9" name="Picture 12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8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0" name="Picture 13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1" name="Picture 16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6" name="Picture 17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9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0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1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62" name="Picture 13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6" name="Picture 16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7" name="Picture 17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5" name="Picture 13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6" name="Picture 16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7" name="Picture 17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181793</xdr:colOff>
      <xdr:row>67</xdr:row>
      <xdr:rowOff>82445</xdr:rowOff>
    </xdr:from>
    <xdr:to>
      <xdr:col>23</xdr:col>
      <xdr:colOff>46807</xdr:colOff>
      <xdr:row>73</xdr:row>
      <xdr:rowOff>85197</xdr:rowOff>
    </xdr:to>
    <xdr:grpSp>
      <xdr:nvGrpSpPr>
        <xdr:cNvPr id="320" name="26SL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GrpSpPr/>
      </xdr:nvGrpSpPr>
      <xdr:grpSpPr>
        <a:xfrm>
          <a:off x="10087793" y="27979265"/>
          <a:ext cx="1838594" cy="1008592"/>
          <a:chOff x="4636557" y="8964613"/>
          <a:chExt cx="2029094" cy="1008592"/>
        </a:xfrm>
      </xdr:grpSpPr>
      <xdr:pic>
        <xdr:nvPicPr>
          <xdr:cNvPr id="321" name="Picture 320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000-00004201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lap=300</a:t>
            </a:r>
            <a:endParaRPr lang="en-IN" sz="700" b="0"/>
          </a:p>
        </xdr:txBody>
      </xdr:sp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00000000-0008-0000-0000-000043010000}"/>
              </a:ext>
            </a:extLst>
          </xdr:cNvPr>
          <xdr:cNvSpPr txBox="1"/>
        </xdr:nvSpPr>
        <xdr:spPr>
          <a:xfrm>
            <a:off x="5114124" y="939725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00000000-0008-0000-0000-00004401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00000000-0008-0000-0000-000045010000}"/>
              </a:ext>
            </a:extLst>
          </xdr:cNvPr>
          <xdr:cNvSpPr txBox="1"/>
        </xdr:nvSpPr>
        <xdr:spPr>
          <a:xfrm>
            <a:off x="5910813" y="954553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00000000-0008-0000-0000-00004A010000}"/>
              </a:ext>
            </a:extLst>
          </xdr:cNvPr>
          <xdr:cNvSpPr txBox="1"/>
        </xdr:nvSpPr>
        <xdr:spPr>
          <a:xfrm>
            <a:off x="6112734" y="9681021"/>
            <a:ext cx="516666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1000</a:t>
            </a:r>
          </a:p>
        </xdr:txBody>
      </xdr:sp>
      <xdr:pic>
        <xdr:nvPicPr>
          <xdr:cNvPr id="331" name="Picture 330">
            <a:extLst>
              <a:ext uri="{FF2B5EF4-FFF2-40B4-BE49-F238E27FC236}">
                <a16:creationId xmlns:a16="http://schemas.microsoft.com/office/drawing/2014/main" id="{00000000-0008-0000-0000-00004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332" name="Picture 331">
            <a:extLst>
              <a:ext uri="{FF2B5EF4-FFF2-40B4-BE49-F238E27FC236}">
                <a16:creationId xmlns:a16="http://schemas.microsoft.com/office/drawing/2014/main" id="{00000000-0008-0000-0000-00004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73</xdr:row>
      <xdr:rowOff>116046</xdr:rowOff>
    </xdr:from>
    <xdr:to>
      <xdr:col>22</xdr:col>
      <xdr:colOff>1904630</xdr:colOff>
      <xdr:row>79</xdr:row>
      <xdr:rowOff>51593</xdr:rowOff>
    </xdr:to>
    <xdr:grpSp>
      <xdr:nvGrpSpPr>
        <xdr:cNvPr id="102" name="26SL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10165449" y="29018706"/>
          <a:ext cx="1713761" cy="941387"/>
          <a:chOff x="4636557" y="8964613"/>
          <a:chExt cx="2120727" cy="1008592"/>
        </a:xfrm>
      </xdr:grpSpPr>
      <xdr:pic>
        <xdr:nvPicPr>
          <xdr:cNvPr id="103" name="Picture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81</xdr:row>
      <xdr:rowOff>116047</xdr:rowOff>
    </xdr:from>
    <xdr:to>
      <xdr:col>22</xdr:col>
      <xdr:colOff>1904630</xdr:colOff>
      <xdr:row>87</xdr:row>
      <xdr:rowOff>51594</xdr:rowOff>
    </xdr:to>
    <xdr:grpSp>
      <xdr:nvGrpSpPr>
        <xdr:cNvPr id="146" name="26SL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GrpSpPr/>
      </xdr:nvGrpSpPr>
      <xdr:grpSpPr>
        <a:xfrm>
          <a:off x="10165449" y="30359827"/>
          <a:ext cx="1713761" cy="941387"/>
          <a:chOff x="4636557" y="8964613"/>
          <a:chExt cx="2120727" cy="1008592"/>
        </a:xfrm>
      </xdr:grpSpPr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000-000097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000-000098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0000000-0008-0000-00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4" name="Picture 153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55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5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7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79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80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4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5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6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7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8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9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1" name="Picture 14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2" name="Picture 18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3" name="Picture 19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4" name="Picture 20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5" name="Picture 2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6" name="Picture 22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7" name="Picture 23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8" name="Picture 24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13" name="Picture 25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8" name="Picture 30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9" name="Picture 3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0" name="Picture 32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1" name="Picture 33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2" name="Picture 42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3" name="Picture 43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4" name="Picture 44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5" name="Picture 45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8" name="Picture 18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9" name="Picture 19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4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5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2" name="Picture 20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3" name="Picture 23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4" name="Picture 24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5" name="Picture 25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6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1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2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3" name="Picture 20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4" name="Picture 23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5" name="Picture 2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6" name="Picture 2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1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5" name="Picture 30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6" name="Picture 3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7" name="Picture 32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8" name="Picture 33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19" name="Picture 42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0" name="Picture 43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1" name="Picture 44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2" name="Picture 45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2" name="Picture 20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3" name="Picture 23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4" name="Picture 24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5" name="Picture 25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4" name="Picture 20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5" name="Picture 23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6" name="Picture 24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7" name="Picture 25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5" name="Picture 20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6" name="Picture 23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7" name="Picture 24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8" name="Picture 25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3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64" name="Picture 12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0" name="Picture 20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1" name="Picture 23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2" name="Picture 24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25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8" name="Picture 20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9" name="Picture 23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0" name="Picture 24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1" name="Picture 25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5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86" name="Picture 12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2" name="Picture 20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3" name="Picture 23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4" name="Picture 24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5" name="Picture 25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0" name="Picture 20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1" name="Picture 23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2" name="Picture 24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3" name="Picture 25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106681</xdr:colOff>
      <xdr:row>9</xdr:row>
      <xdr:rowOff>6817</xdr:rowOff>
    </xdr:from>
    <xdr:to>
      <xdr:col>22</xdr:col>
      <xdr:colOff>1507293</xdr:colOff>
      <xdr:row>9</xdr:row>
      <xdr:rowOff>468527</xdr:rowOff>
    </xdr:to>
    <xdr:grpSp>
      <xdr:nvGrpSpPr>
        <xdr:cNvPr id="483" name="41GJ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GrpSpPr/>
      </xdr:nvGrpSpPr>
      <xdr:grpSpPr>
        <a:xfrm>
          <a:off x="10241281" y="4601677"/>
          <a:ext cx="1400612" cy="461710"/>
          <a:chOff x="1318531" y="2847443"/>
          <a:chExt cx="1262322" cy="438517"/>
        </a:xfrm>
      </xdr:grpSpPr>
      <xdr:pic>
        <xdr:nvPicPr>
          <xdr:cNvPr id="484" name="Picture 483">
            <a:extLst>
              <a:ext uri="{FF2B5EF4-FFF2-40B4-BE49-F238E27FC236}">
                <a16:creationId xmlns:a16="http://schemas.microsoft.com/office/drawing/2014/main" id="{00000000-0008-0000-0000-0000E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87" name="TextBox 486">
            <a:extLst>
              <a:ext uri="{FF2B5EF4-FFF2-40B4-BE49-F238E27FC236}">
                <a16:creationId xmlns:a16="http://schemas.microsoft.com/office/drawing/2014/main" id="{00000000-0008-0000-0000-0000E7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04" name="TextBox 503">
            <a:extLst>
              <a:ext uri="{FF2B5EF4-FFF2-40B4-BE49-F238E27FC236}">
                <a16:creationId xmlns:a16="http://schemas.microsoft.com/office/drawing/2014/main" id="{00000000-0008-0000-0000-0000F8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00000000-0008-0000-0000-0000F9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8625</a:t>
            </a:r>
          </a:p>
        </xdr:txBody>
      </xdr:sp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000-0000FA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000-0000FB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21</xdr:col>
      <xdr:colOff>207971</xdr:colOff>
      <xdr:row>7</xdr:row>
      <xdr:rowOff>36166</xdr:rowOff>
    </xdr:from>
    <xdr:to>
      <xdr:col>22</xdr:col>
      <xdr:colOff>1483669</xdr:colOff>
      <xdr:row>8</xdr:row>
      <xdr:rowOff>21595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GrpSpPr/>
      </xdr:nvGrpSpPr>
      <xdr:grpSpPr>
        <a:xfrm>
          <a:off x="10113971" y="3609946"/>
          <a:ext cx="1504298" cy="495969"/>
          <a:chOff x="1106460" y="361462"/>
          <a:chExt cx="1499899" cy="511636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0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000-0000FE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000-0000FF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9120</a:t>
            </a:r>
          </a:p>
        </xdr:txBody>
      </xdr:sp>
    </xdr:grpSp>
    <xdr:clientData/>
  </xdr:twoCellAnchor>
  <xdr:twoCellAnchor>
    <xdr:from>
      <xdr:col>22</xdr:col>
      <xdr:colOff>180308</xdr:colOff>
      <xdr:row>11</xdr:row>
      <xdr:rowOff>61741</xdr:rowOff>
    </xdr:from>
    <xdr:to>
      <xdr:col>22</xdr:col>
      <xdr:colOff>1663732</xdr:colOff>
      <xdr:row>11</xdr:row>
      <xdr:rowOff>380217</xdr:rowOff>
    </xdr:to>
    <xdr:grpSp>
      <xdr:nvGrpSpPr>
        <xdr:cNvPr id="226" name="0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GrpSpPr/>
      </xdr:nvGrpSpPr>
      <xdr:grpSpPr>
        <a:xfrm>
          <a:off x="10314908" y="5677681"/>
          <a:ext cx="1483424" cy="318476"/>
          <a:chOff x="1172308" y="1488831"/>
          <a:chExt cx="1505160" cy="318476"/>
        </a:xfrm>
      </xdr:grpSpPr>
      <xdr:pic>
        <xdr:nvPicPr>
          <xdr:cNvPr id="246" name="StraightBar">
            <a:extLst>
              <a:ext uri="{FF2B5EF4-FFF2-40B4-BE49-F238E27FC236}">
                <a16:creationId xmlns:a16="http://schemas.microsoft.com/office/drawing/2014/main" id="{00000000-0008-0000-0000-0000F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000-0000F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10765</a:t>
            </a:r>
          </a:p>
        </xdr:txBody>
      </xdr:sp>
    </xdr:grpSp>
    <xdr:clientData/>
  </xdr:twoCellAnchor>
  <xdr:twoCellAnchor>
    <xdr:from>
      <xdr:col>22</xdr:col>
      <xdr:colOff>215591</xdr:colOff>
      <xdr:row>13</xdr:row>
      <xdr:rowOff>13306</xdr:rowOff>
    </xdr:from>
    <xdr:to>
      <xdr:col>22</xdr:col>
      <xdr:colOff>1719889</xdr:colOff>
      <xdr:row>13</xdr:row>
      <xdr:rowOff>501655</xdr:rowOff>
    </xdr:to>
    <xdr:grpSp>
      <xdr:nvGrpSpPr>
        <xdr:cNvPr id="406" name="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GrpSpPr/>
      </xdr:nvGrpSpPr>
      <xdr:grpSpPr>
        <a:xfrm>
          <a:off x="10350191" y="6650326"/>
          <a:ext cx="1504298" cy="488349"/>
          <a:chOff x="1106460" y="361462"/>
          <a:chExt cx="1499899" cy="511636"/>
        </a:xfrm>
      </xdr:grpSpPr>
      <xdr:pic>
        <xdr:nvPicPr>
          <xdr:cNvPr id="423" name="Picture 422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24" name="TextBox 423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15</xdr:row>
      <xdr:rowOff>13306</xdr:rowOff>
    </xdr:from>
    <xdr:to>
      <xdr:col>22</xdr:col>
      <xdr:colOff>1719889</xdr:colOff>
      <xdr:row>15</xdr:row>
      <xdr:rowOff>501655</xdr:rowOff>
    </xdr:to>
    <xdr:grpSp>
      <xdr:nvGrpSpPr>
        <xdr:cNvPr id="438" name="1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GrpSpPr/>
      </xdr:nvGrpSpPr>
      <xdr:grpSpPr>
        <a:xfrm>
          <a:off x="10350191" y="7671406"/>
          <a:ext cx="1504298" cy="488349"/>
          <a:chOff x="1106460" y="361462"/>
          <a:chExt cx="1499899" cy="511636"/>
        </a:xfrm>
      </xdr:grpSpPr>
      <xdr:pic>
        <xdr:nvPicPr>
          <xdr:cNvPr id="439" name="Picture 438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2" name="TextBox 511">
            <a:extLst>
              <a:ext uri="{FF2B5EF4-FFF2-40B4-BE49-F238E27FC236}">
                <a16:creationId xmlns:a16="http://schemas.microsoft.com/office/drawing/2014/main" id="{00000000-0008-0000-0000-000000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3" name="TextBox 512">
            <a:extLst>
              <a:ext uri="{FF2B5EF4-FFF2-40B4-BE49-F238E27FC236}">
                <a16:creationId xmlns:a16="http://schemas.microsoft.com/office/drawing/2014/main" id="{00000000-0008-0000-0000-000001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twoCellAnchor>
    <xdr:from>
      <xdr:col>22</xdr:col>
      <xdr:colOff>346127</xdr:colOff>
      <xdr:row>17</xdr:row>
      <xdr:rowOff>866</xdr:rowOff>
    </xdr:from>
    <xdr:to>
      <xdr:col>22</xdr:col>
      <xdr:colOff>1589354</xdr:colOff>
      <xdr:row>17</xdr:row>
      <xdr:rowOff>502055</xdr:rowOff>
    </xdr:to>
    <xdr:grpSp>
      <xdr:nvGrpSpPr>
        <xdr:cNvPr id="514" name="42S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GrpSpPr/>
      </xdr:nvGrpSpPr>
      <xdr:grpSpPr>
        <a:xfrm>
          <a:off x="10480727" y="8680046"/>
          <a:ext cx="1243227" cy="501189"/>
          <a:chOff x="1301680" y="5422351"/>
          <a:chExt cx="1334356" cy="518940"/>
        </a:xfrm>
      </xdr:grpSpPr>
      <xdr:grpSp>
        <xdr:nvGrpSpPr>
          <xdr:cNvPr id="515" name="42S1">
            <a:extLst>
              <a:ext uri="{FF2B5EF4-FFF2-40B4-BE49-F238E27FC236}">
                <a16:creationId xmlns:a16="http://schemas.microsoft.com/office/drawing/2014/main" id="{00000000-0008-0000-0000-000003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17" name="Picture 516">
              <a:extLst>
                <a:ext uri="{FF2B5EF4-FFF2-40B4-BE49-F238E27FC236}">
                  <a16:creationId xmlns:a16="http://schemas.microsoft.com/office/drawing/2014/main" id="{00000000-0008-0000-0000-000005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18" name="TextBox 517">
              <a:extLst>
                <a:ext uri="{FF2B5EF4-FFF2-40B4-BE49-F238E27FC236}">
                  <a16:creationId xmlns:a16="http://schemas.microsoft.com/office/drawing/2014/main" id="{00000000-0008-0000-0000-000006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19" name="TextBox 518">
              <a:extLst>
                <a:ext uri="{FF2B5EF4-FFF2-40B4-BE49-F238E27FC236}">
                  <a16:creationId xmlns:a16="http://schemas.microsoft.com/office/drawing/2014/main" id="{00000000-0008-0000-0000-000007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20" name="TextBox 519">
              <a:extLst>
                <a:ext uri="{FF2B5EF4-FFF2-40B4-BE49-F238E27FC236}">
                  <a16:creationId xmlns:a16="http://schemas.microsoft.com/office/drawing/2014/main" id="{00000000-0008-0000-0000-000008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521" name="TextBox 520">
              <a:extLst>
                <a:ext uri="{FF2B5EF4-FFF2-40B4-BE49-F238E27FC236}">
                  <a16:creationId xmlns:a16="http://schemas.microsoft.com/office/drawing/2014/main" id="{00000000-0008-0000-0000-000009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16" name="1212">
            <a:extLst>
              <a:ext uri="{FF2B5EF4-FFF2-40B4-BE49-F238E27FC236}">
                <a16:creationId xmlns:a16="http://schemas.microsoft.com/office/drawing/2014/main" id="{00000000-0008-0000-0000-000004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19</xdr:row>
      <xdr:rowOff>43786</xdr:rowOff>
    </xdr:from>
    <xdr:to>
      <xdr:col>22</xdr:col>
      <xdr:colOff>1719889</xdr:colOff>
      <xdr:row>19</xdr:row>
      <xdr:rowOff>532135</xdr:rowOff>
    </xdr:to>
    <xdr:grpSp>
      <xdr:nvGrpSpPr>
        <xdr:cNvPr id="522" name="1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GrpSpPr/>
      </xdr:nvGrpSpPr>
      <xdr:grpSpPr>
        <a:xfrm>
          <a:off x="10350191" y="9744046"/>
          <a:ext cx="1504298" cy="488349"/>
          <a:chOff x="1106460" y="361462"/>
          <a:chExt cx="1499899" cy="511636"/>
        </a:xfrm>
      </xdr:grpSpPr>
      <xdr:pic>
        <xdr:nvPicPr>
          <xdr:cNvPr id="523" name="Picture 522">
            <a:extLst>
              <a:ext uri="{FF2B5EF4-FFF2-40B4-BE49-F238E27FC236}">
                <a16:creationId xmlns:a16="http://schemas.microsoft.com/office/drawing/2014/main" id="{00000000-0008-0000-0000-00000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24" name="TextBox 523">
            <a:extLst>
              <a:ext uri="{FF2B5EF4-FFF2-40B4-BE49-F238E27FC236}">
                <a16:creationId xmlns:a16="http://schemas.microsoft.com/office/drawing/2014/main" id="{00000000-0008-0000-0000-00000C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0000000-0008-0000-0000-00000D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22</xdr:row>
      <xdr:rowOff>92223</xdr:rowOff>
    </xdr:from>
    <xdr:to>
      <xdr:col>22</xdr:col>
      <xdr:colOff>1709452</xdr:colOff>
      <xdr:row>22</xdr:row>
      <xdr:rowOff>410699</xdr:rowOff>
    </xdr:to>
    <xdr:grpSp>
      <xdr:nvGrpSpPr>
        <xdr:cNvPr id="526" name="0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GrpSpPr/>
      </xdr:nvGrpSpPr>
      <xdr:grpSpPr>
        <a:xfrm>
          <a:off x="10360628" y="11430783"/>
          <a:ext cx="1483424" cy="318476"/>
          <a:chOff x="1172308" y="1488831"/>
          <a:chExt cx="1505160" cy="318476"/>
        </a:xfrm>
      </xdr:grpSpPr>
      <xdr:pic>
        <xdr:nvPicPr>
          <xdr:cNvPr id="527" name="StraightBar">
            <a:extLst>
              <a:ext uri="{FF2B5EF4-FFF2-40B4-BE49-F238E27FC236}">
                <a16:creationId xmlns:a16="http://schemas.microsoft.com/office/drawing/2014/main" id="{00000000-0008-0000-0000-00000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8" name="TextBox 527">
            <a:extLst>
              <a:ext uri="{FF2B5EF4-FFF2-40B4-BE49-F238E27FC236}">
                <a16:creationId xmlns:a16="http://schemas.microsoft.com/office/drawing/2014/main" id="{00000000-0008-0000-0000-000010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9400</a:t>
            </a:r>
          </a:p>
        </xdr:txBody>
      </xdr:sp>
    </xdr:grpSp>
    <xdr:clientData/>
  </xdr:twoCellAnchor>
  <xdr:twoCellAnchor>
    <xdr:from>
      <xdr:col>22</xdr:col>
      <xdr:colOff>346127</xdr:colOff>
      <xdr:row>24</xdr:row>
      <xdr:rowOff>867</xdr:rowOff>
    </xdr:from>
    <xdr:to>
      <xdr:col>22</xdr:col>
      <xdr:colOff>1589354</xdr:colOff>
      <xdr:row>24</xdr:row>
      <xdr:rowOff>502056</xdr:rowOff>
    </xdr:to>
    <xdr:grpSp>
      <xdr:nvGrpSpPr>
        <xdr:cNvPr id="529" name="42S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GrpSpPr/>
      </xdr:nvGrpSpPr>
      <xdr:grpSpPr>
        <a:xfrm>
          <a:off x="10480727" y="12360507"/>
          <a:ext cx="1243227" cy="501189"/>
          <a:chOff x="1301680" y="5422351"/>
          <a:chExt cx="1334356" cy="518940"/>
        </a:xfrm>
      </xdr:grpSpPr>
      <xdr:grpSp>
        <xdr:nvGrpSpPr>
          <xdr:cNvPr id="530" name="42S1">
            <a:extLst>
              <a:ext uri="{FF2B5EF4-FFF2-40B4-BE49-F238E27FC236}">
                <a16:creationId xmlns:a16="http://schemas.microsoft.com/office/drawing/2014/main" id="{00000000-0008-0000-0000-000012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32" name="Picture 531">
              <a:extLst>
                <a:ext uri="{FF2B5EF4-FFF2-40B4-BE49-F238E27FC236}">
                  <a16:creationId xmlns:a16="http://schemas.microsoft.com/office/drawing/2014/main" id="{00000000-0008-0000-0000-000014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33" name="TextBox 532">
              <a:extLst>
                <a:ext uri="{FF2B5EF4-FFF2-40B4-BE49-F238E27FC236}">
                  <a16:creationId xmlns:a16="http://schemas.microsoft.com/office/drawing/2014/main" id="{00000000-0008-0000-0000-000015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34" name="TextBox 533">
              <a:extLst>
                <a:ext uri="{FF2B5EF4-FFF2-40B4-BE49-F238E27FC236}">
                  <a16:creationId xmlns:a16="http://schemas.microsoft.com/office/drawing/2014/main" id="{00000000-0008-0000-0000-000016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35" name="TextBox 534">
              <a:extLst>
                <a:ext uri="{FF2B5EF4-FFF2-40B4-BE49-F238E27FC236}">
                  <a16:creationId xmlns:a16="http://schemas.microsoft.com/office/drawing/2014/main" id="{00000000-0008-0000-0000-000017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5700</a:t>
              </a:r>
            </a:p>
          </xdr:txBody>
        </xdr:sp>
        <xdr:sp macro="" textlink="">
          <xdr:nvSpPr>
            <xdr:cNvPr id="536" name="TextBox 535">
              <a:extLst>
                <a:ext uri="{FF2B5EF4-FFF2-40B4-BE49-F238E27FC236}">
                  <a16:creationId xmlns:a16="http://schemas.microsoft.com/office/drawing/2014/main" id="{00000000-0008-0000-0000-000018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31" name="1212">
            <a:extLst>
              <a:ext uri="{FF2B5EF4-FFF2-40B4-BE49-F238E27FC236}">
                <a16:creationId xmlns:a16="http://schemas.microsoft.com/office/drawing/2014/main" id="{00000000-0008-0000-0000-000013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25</xdr:row>
      <xdr:rowOff>43786</xdr:rowOff>
    </xdr:from>
    <xdr:to>
      <xdr:col>22</xdr:col>
      <xdr:colOff>1719889</xdr:colOff>
      <xdr:row>25</xdr:row>
      <xdr:rowOff>532135</xdr:rowOff>
    </xdr:to>
    <xdr:grpSp>
      <xdr:nvGrpSpPr>
        <xdr:cNvPr id="537" name="1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GrpSpPr/>
      </xdr:nvGrpSpPr>
      <xdr:grpSpPr>
        <a:xfrm>
          <a:off x="10350191" y="12913966"/>
          <a:ext cx="1504298" cy="488349"/>
          <a:chOff x="1106460" y="361462"/>
          <a:chExt cx="1499899" cy="511636"/>
        </a:xfrm>
      </xdr:grpSpPr>
      <xdr:pic>
        <xdr:nvPicPr>
          <xdr:cNvPr id="538" name="Picture 537">
            <a:extLst>
              <a:ext uri="{FF2B5EF4-FFF2-40B4-BE49-F238E27FC236}">
                <a16:creationId xmlns:a16="http://schemas.microsoft.com/office/drawing/2014/main" id="{00000000-0008-0000-0000-00001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39" name="TextBox 538">
            <a:extLst>
              <a:ext uri="{FF2B5EF4-FFF2-40B4-BE49-F238E27FC236}">
                <a16:creationId xmlns:a16="http://schemas.microsoft.com/office/drawing/2014/main" id="{00000000-0008-0000-0000-00001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00000000-0008-0000-0000-00001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28</xdr:row>
      <xdr:rowOff>92222</xdr:rowOff>
    </xdr:from>
    <xdr:to>
      <xdr:col>22</xdr:col>
      <xdr:colOff>1709452</xdr:colOff>
      <xdr:row>28</xdr:row>
      <xdr:rowOff>410698</xdr:rowOff>
    </xdr:to>
    <xdr:grpSp>
      <xdr:nvGrpSpPr>
        <xdr:cNvPr id="545" name="0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GrpSpPr/>
      </xdr:nvGrpSpPr>
      <xdr:grpSpPr>
        <a:xfrm>
          <a:off x="10360628" y="14547362"/>
          <a:ext cx="1483424" cy="318476"/>
          <a:chOff x="1172308" y="1488831"/>
          <a:chExt cx="1505160" cy="318476"/>
        </a:xfrm>
      </xdr:grpSpPr>
      <xdr:pic>
        <xdr:nvPicPr>
          <xdr:cNvPr id="546" name="StraightBar">
            <a:extLst>
              <a:ext uri="{FF2B5EF4-FFF2-40B4-BE49-F238E27FC236}">
                <a16:creationId xmlns:a16="http://schemas.microsoft.com/office/drawing/2014/main" id="{00000000-0008-0000-0000-00002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47" name="TextBox 546">
            <a:extLst>
              <a:ext uri="{FF2B5EF4-FFF2-40B4-BE49-F238E27FC236}">
                <a16:creationId xmlns:a16="http://schemas.microsoft.com/office/drawing/2014/main" id="{00000000-0008-0000-0000-000023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8070</a:t>
            </a:r>
          </a:p>
        </xdr:txBody>
      </xdr:sp>
    </xdr:grpSp>
    <xdr:clientData/>
  </xdr:twoCellAnchor>
  <xdr:twoCellAnchor>
    <xdr:from>
      <xdr:col>22</xdr:col>
      <xdr:colOff>215591</xdr:colOff>
      <xdr:row>29</xdr:row>
      <xdr:rowOff>13307</xdr:rowOff>
    </xdr:from>
    <xdr:to>
      <xdr:col>22</xdr:col>
      <xdr:colOff>1719889</xdr:colOff>
      <xdr:row>29</xdr:row>
      <xdr:rowOff>501656</xdr:rowOff>
    </xdr:to>
    <xdr:grpSp>
      <xdr:nvGrpSpPr>
        <xdr:cNvPr id="552" name="1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GrpSpPr/>
      </xdr:nvGrpSpPr>
      <xdr:grpSpPr>
        <a:xfrm>
          <a:off x="10350191" y="14978987"/>
          <a:ext cx="1504298" cy="488349"/>
          <a:chOff x="1106460" y="361462"/>
          <a:chExt cx="1499899" cy="511636"/>
        </a:xfrm>
      </xdr:grpSpPr>
      <xdr:pic>
        <xdr:nvPicPr>
          <xdr:cNvPr id="553" name="Picture 552">
            <a:extLst>
              <a:ext uri="{FF2B5EF4-FFF2-40B4-BE49-F238E27FC236}">
                <a16:creationId xmlns:a16="http://schemas.microsoft.com/office/drawing/2014/main" id="{00000000-0008-0000-0000-00002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54" name="TextBox 553">
            <a:extLst>
              <a:ext uri="{FF2B5EF4-FFF2-40B4-BE49-F238E27FC236}">
                <a16:creationId xmlns:a16="http://schemas.microsoft.com/office/drawing/2014/main" id="{00000000-0008-0000-0000-00002A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55" name="TextBox 554">
            <a:extLst>
              <a:ext uri="{FF2B5EF4-FFF2-40B4-BE49-F238E27FC236}">
                <a16:creationId xmlns:a16="http://schemas.microsoft.com/office/drawing/2014/main" id="{00000000-0008-0000-0000-00002B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7220</a:t>
            </a:r>
          </a:p>
        </xdr:txBody>
      </xdr:sp>
    </xdr:grpSp>
    <xdr:clientData/>
  </xdr:twoCellAnchor>
  <xdr:twoCellAnchor>
    <xdr:from>
      <xdr:col>22</xdr:col>
      <xdr:colOff>361131</xdr:colOff>
      <xdr:row>31</xdr:row>
      <xdr:rowOff>14435</xdr:rowOff>
    </xdr:from>
    <xdr:to>
      <xdr:col>22</xdr:col>
      <xdr:colOff>1621592</xdr:colOff>
      <xdr:row>31</xdr:row>
      <xdr:rowOff>476145</xdr:rowOff>
    </xdr:to>
    <xdr:grpSp>
      <xdr:nvGrpSpPr>
        <xdr:cNvPr id="556" name="41GJ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GrpSpPr/>
      </xdr:nvGrpSpPr>
      <xdr:grpSpPr>
        <a:xfrm>
          <a:off x="10495731" y="16001195"/>
          <a:ext cx="1260461" cy="461710"/>
          <a:chOff x="1318531" y="2847443"/>
          <a:chExt cx="1262322" cy="438517"/>
        </a:xfrm>
      </xdr:grpSpPr>
      <xdr:pic>
        <xdr:nvPicPr>
          <xdr:cNvPr id="557" name="Picture 556">
            <a:extLst>
              <a:ext uri="{FF2B5EF4-FFF2-40B4-BE49-F238E27FC236}">
                <a16:creationId xmlns:a16="http://schemas.microsoft.com/office/drawing/2014/main" id="{00000000-0008-0000-0000-00002D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58" name="TextBox 557">
            <a:extLst>
              <a:ext uri="{FF2B5EF4-FFF2-40B4-BE49-F238E27FC236}">
                <a16:creationId xmlns:a16="http://schemas.microsoft.com/office/drawing/2014/main" id="{00000000-0008-0000-0000-00002E02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59" name="TextBox 558">
            <a:extLst>
              <a:ext uri="{FF2B5EF4-FFF2-40B4-BE49-F238E27FC236}">
                <a16:creationId xmlns:a16="http://schemas.microsoft.com/office/drawing/2014/main" id="{00000000-0008-0000-0000-00002F02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0" name="TextBox 559">
            <a:extLst>
              <a:ext uri="{FF2B5EF4-FFF2-40B4-BE49-F238E27FC236}">
                <a16:creationId xmlns:a16="http://schemas.microsoft.com/office/drawing/2014/main" id="{00000000-0008-0000-0000-000030020000}"/>
              </a:ext>
            </a:extLst>
          </xdr:cNvPr>
          <xdr:cNvSpPr txBox="1"/>
        </xdr:nvSpPr>
        <xdr:spPr>
          <a:xfrm>
            <a:off x="1784256" y="2847443"/>
            <a:ext cx="419194" cy="355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8125</a:t>
            </a:r>
          </a:p>
          <a:p>
            <a:endParaRPr lang="en-IN" sz="900"/>
          </a:p>
        </xdr:txBody>
      </xdr:sp>
      <xdr:sp macro="" textlink="">
        <xdr:nvSpPr>
          <xdr:cNvPr id="561" name="TextBox 560">
            <a:extLst>
              <a:ext uri="{FF2B5EF4-FFF2-40B4-BE49-F238E27FC236}">
                <a16:creationId xmlns:a16="http://schemas.microsoft.com/office/drawing/2014/main" id="{00000000-0008-0000-0000-00003102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2" name="TextBox 561">
            <a:extLst>
              <a:ext uri="{FF2B5EF4-FFF2-40B4-BE49-F238E27FC236}">
                <a16:creationId xmlns:a16="http://schemas.microsoft.com/office/drawing/2014/main" id="{00000000-0008-0000-0000-00003202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226028</xdr:colOff>
      <xdr:row>33</xdr:row>
      <xdr:rowOff>92223</xdr:rowOff>
    </xdr:from>
    <xdr:to>
      <xdr:col>22</xdr:col>
      <xdr:colOff>1709452</xdr:colOff>
      <xdr:row>33</xdr:row>
      <xdr:rowOff>410699</xdr:rowOff>
    </xdr:to>
    <xdr:grpSp>
      <xdr:nvGrpSpPr>
        <xdr:cNvPr id="563" name="0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GrpSpPr/>
      </xdr:nvGrpSpPr>
      <xdr:grpSpPr>
        <a:xfrm>
          <a:off x="10360628" y="17100063"/>
          <a:ext cx="1483424" cy="318476"/>
          <a:chOff x="1172308" y="1488831"/>
          <a:chExt cx="1505160" cy="318476"/>
        </a:xfrm>
      </xdr:grpSpPr>
      <xdr:pic>
        <xdr:nvPicPr>
          <xdr:cNvPr id="564" name="StraightBar">
            <a:extLst>
              <a:ext uri="{FF2B5EF4-FFF2-40B4-BE49-F238E27FC236}">
                <a16:creationId xmlns:a16="http://schemas.microsoft.com/office/drawing/2014/main" id="{00000000-0008-0000-0000-000034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65" name="TextBox 564">
            <a:extLst>
              <a:ext uri="{FF2B5EF4-FFF2-40B4-BE49-F238E27FC236}">
                <a16:creationId xmlns:a16="http://schemas.microsoft.com/office/drawing/2014/main" id="{00000000-0008-0000-0000-000035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9965</a:t>
            </a:r>
          </a:p>
        </xdr:txBody>
      </xdr:sp>
    </xdr:grpSp>
    <xdr:clientData/>
  </xdr:twoCellAnchor>
  <xdr:twoCellAnchor>
    <xdr:from>
      <xdr:col>22</xdr:col>
      <xdr:colOff>215591</xdr:colOff>
      <xdr:row>36</xdr:row>
      <xdr:rowOff>13306</xdr:rowOff>
    </xdr:from>
    <xdr:to>
      <xdr:col>22</xdr:col>
      <xdr:colOff>1719889</xdr:colOff>
      <xdr:row>36</xdr:row>
      <xdr:rowOff>501655</xdr:rowOff>
    </xdr:to>
    <xdr:grpSp>
      <xdr:nvGrpSpPr>
        <xdr:cNvPr id="573" name="1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GrpSpPr/>
      </xdr:nvGrpSpPr>
      <xdr:grpSpPr>
        <a:xfrm>
          <a:off x="10350191" y="18552766"/>
          <a:ext cx="1504298" cy="488349"/>
          <a:chOff x="1106460" y="361462"/>
          <a:chExt cx="1499899" cy="511636"/>
        </a:xfrm>
      </xdr:grpSpPr>
      <xdr:pic>
        <xdr:nvPicPr>
          <xdr:cNvPr id="574" name="Picture 573">
            <a:extLst>
              <a:ext uri="{FF2B5EF4-FFF2-40B4-BE49-F238E27FC236}">
                <a16:creationId xmlns:a16="http://schemas.microsoft.com/office/drawing/2014/main" id="{00000000-0008-0000-0000-00003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75" name="TextBox 574">
            <a:extLst>
              <a:ext uri="{FF2B5EF4-FFF2-40B4-BE49-F238E27FC236}">
                <a16:creationId xmlns:a16="http://schemas.microsoft.com/office/drawing/2014/main" id="{00000000-0008-0000-0000-00003F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76" name="TextBox 575">
            <a:extLst>
              <a:ext uri="{FF2B5EF4-FFF2-40B4-BE49-F238E27FC236}">
                <a16:creationId xmlns:a16="http://schemas.microsoft.com/office/drawing/2014/main" id="{00000000-0008-0000-0000-000040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8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5" name="Picture 30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6" name="Picture 3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7" name="Picture 32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8" name="Picture 33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89" name="Picture 42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0" name="Picture 43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1" name="Picture 44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2" name="Picture 45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42</xdr:row>
      <xdr:rowOff>43786</xdr:rowOff>
    </xdr:from>
    <xdr:to>
      <xdr:col>22</xdr:col>
      <xdr:colOff>1719889</xdr:colOff>
      <xdr:row>42</xdr:row>
      <xdr:rowOff>501655</xdr:rowOff>
    </xdr:to>
    <xdr:grpSp>
      <xdr:nvGrpSpPr>
        <xdr:cNvPr id="601" name="1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GrpSpPr/>
      </xdr:nvGrpSpPr>
      <xdr:grpSpPr>
        <a:xfrm>
          <a:off x="10350191" y="21646486"/>
          <a:ext cx="1504298" cy="457869"/>
          <a:chOff x="1106460" y="361462"/>
          <a:chExt cx="1499899" cy="511636"/>
        </a:xfrm>
      </xdr:grpSpPr>
      <xdr:pic>
        <xdr:nvPicPr>
          <xdr:cNvPr id="602" name="Picture 601">
            <a:extLst>
              <a:ext uri="{FF2B5EF4-FFF2-40B4-BE49-F238E27FC236}">
                <a16:creationId xmlns:a16="http://schemas.microsoft.com/office/drawing/2014/main" id="{00000000-0008-0000-0000-00005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3" name="TextBox 602">
            <a:extLst>
              <a:ext uri="{FF2B5EF4-FFF2-40B4-BE49-F238E27FC236}">
                <a16:creationId xmlns:a16="http://schemas.microsoft.com/office/drawing/2014/main" id="{00000000-0008-0000-0000-00005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4" name="TextBox 603">
            <a:extLst>
              <a:ext uri="{FF2B5EF4-FFF2-40B4-BE49-F238E27FC236}">
                <a16:creationId xmlns:a16="http://schemas.microsoft.com/office/drawing/2014/main" id="{00000000-0008-0000-0000-00005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130778</xdr:colOff>
      <xdr:row>23</xdr:row>
      <xdr:rowOff>92222</xdr:rowOff>
    </xdr:from>
    <xdr:to>
      <xdr:col>22</xdr:col>
      <xdr:colOff>1614202</xdr:colOff>
      <xdr:row>23</xdr:row>
      <xdr:rowOff>410698</xdr:rowOff>
    </xdr:to>
    <xdr:grpSp>
      <xdr:nvGrpSpPr>
        <xdr:cNvPr id="50" name="0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0265378" y="11941322"/>
          <a:ext cx="1483424" cy="318476"/>
          <a:chOff x="1172308" y="1488831"/>
          <a:chExt cx="1505160" cy="318476"/>
        </a:xfrm>
      </xdr:grpSpPr>
      <xdr:pic>
        <xdr:nvPicPr>
          <xdr:cNvPr id="51" name="StraightBar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5" name="Picture 1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6" name="Picture 19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17471</xdr:colOff>
      <xdr:row>8</xdr:row>
      <xdr:rowOff>13306</xdr:rowOff>
    </xdr:from>
    <xdr:to>
      <xdr:col>22</xdr:col>
      <xdr:colOff>1521769</xdr:colOff>
      <xdr:row>8</xdr:row>
      <xdr:rowOff>501655</xdr:rowOff>
    </xdr:to>
    <xdr:grpSp>
      <xdr:nvGrpSpPr>
        <xdr:cNvPr id="57" name="1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152071" y="4097626"/>
          <a:ext cx="1504298" cy="488349"/>
          <a:chOff x="1106460" y="361462"/>
          <a:chExt cx="1499899" cy="511636"/>
        </a:xfrm>
      </xdr:grpSpPr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1797539" y="595922"/>
            <a:ext cx="54055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11412</a:t>
            </a:r>
          </a:p>
        </xdr:txBody>
      </xdr:sp>
    </xdr:grpSp>
    <xdr:clientData/>
  </xdr:two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1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2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3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8" name="Picture 14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9" name="Picture 2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50" name="Picture 22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6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7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8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69" name="Picture 20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0" name="Picture 23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1" name="Picture 24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2" name="Picture 25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8" name="Picture 18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9" name="Picture 1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2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6" name="Picture 20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7" name="Picture 23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1" name="Picture 2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2" name="Picture 25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17" name="Picture 12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2" name="Picture 2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3" name="Picture 23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4" name="Picture 24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5" name="Picture 25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8" name="Picture 20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9" name="Picture 23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0" name="Picture 2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1" name="Picture 25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4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0" name="Picture 20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1" name="Picture 23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2" name="Picture 24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3" name="Picture 25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5" name="Picture 20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6" name="Picture 23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7" name="Picture 24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8" name="Picture 25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3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4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5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6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7" name="Picture 20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8" name="Picture 23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9" name="Picture 24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30" name="Picture 25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160021</xdr:colOff>
      <xdr:row>10</xdr:row>
      <xdr:rowOff>14435</xdr:rowOff>
    </xdr:from>
    <xdr:to>
      <xdr:col>22</xdr:col>
      <xdr:colOff>1526343</xdr:colOff>
      <xdr:row>10</xdr:row>
      <xdr:rowOff>476145</xdr:rowOff>
    </xdr:to>
    <xdr:grpSp>
      <xdr:nvGrpSpPr>
        <xdr:cNvPr id="639" name="41GJ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GrpSpPr/>
      </xdr:nvGrpSpPr>
      <xdr:grpSpPr>
        <a:xfrm>
          <a:off x="10294621" y="5119835"/>
          <a:ext cx="1366322" cy="461710"/>
          <a:chOff x="1318531" y="2847443"/>
          <a:chExt cx="1262322" cy="438517"/>
        </a:xfrm>
      </xdr:grpSpPr>
      <xdr:pic>
        <xdr:nvPicPr>
          <xdr:cNvPr id="192" name="Picture 191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000-0000C200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000-0000C3000000}"/>
              </a:ext>
            </a:extLst>
          </xdr:cNvPr>
          <xdr:cNvSpPr txBox="1"/>
        </xdr:nvSpPr>
        <xdr:spPr>
          <a:xfrm>
            <a:off x="1784256" y="2847443"/>
            <a:ext cx="47775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10060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000-0000C400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lap=900</a:t>
            </a:r>
          </a:p>
        </xdr:txBody>
      </xdr:sp>
    </xdr:grpSp>
    <xdr:clientData/>
  </xdr:twoCellAnchor>
  <xdr:twoCellAnchor>
    <xdr:from>
      <xdr:col>22</xdr:col>
      <xdr:colOff>130778</xdr:colOff>
      <xdr:row>12</xdr:row>
      <xdr:rowOff>92222</xdr:rowOff>
    </xdr:from>
    <xdr:to>
      <xdr:col>22</xdr:col>
      <xdr:colOff>1614202</xdr:colOff>
      <xdr:row>12</xdr:row>
      <xdr:rowOff>410698</xdr:rowOff>
    </xdr:to>
    <xdr:grpSp>
      <xdr:nvGrpSpPr>
        <xdr:cNvPr id="210" name="0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GrpSpPr/>
      </xdr:nvGrpSpPr>
      <xdr:grpSpPr>
        <a:xfrm>
          <a:off x="10265378" y="6218702"/>
          <a:ext cx="1483424" cy="318476"/>
          <a:chOff x="1172308" y="1488831"/>
          <a:chExt cx="1505160" cy="318476"/>
        </a:xfrm>
      </xdr:grpSpPr>
      <xdr:pic>
        <xdr:nvPicPr>
          <xdr:cNvPr id="211" name="StraightBar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12" name="TextBox 211">
            <a:extLst>
              <a:ext uri="{FF2B5EF4-FFF2-40B4-BE49-F238E27FC236}">
                <a16:creationId xmlns:a16="http://schemas.microsoft.com/office/drawing/2014/main" id="{00000000-0008-0000-0000-0000D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7038</a:t>
            </a:r>
          </a:p>
        </xdr:txBody>
      </xdr:sp>
    </xdr:grpSp>
    <xdr:clientData/>
  </xdr:twoCellAnchor>
  <xdr:twoCellAnchor>
    <xdr:from>
      <xdr:col>22</xdr:col>
      <xdr:colOff>120341</xdr:colOff>
      <xdr:row>14</xdr:row>
      <xdr:rowOff>13306</xdr:rowOff>
    </xdr:from>
    <xdr:to>
      <xdr:col>22</xdr:col>
      <xdr:colOff>1624639</xdr:colOff>
      <xdr:row>14</xdr:row>
      <xdr:rowOff>501655</xdr:rowOff>
    </xdr:to>
    <xdr:grpSp>
      <xdr:nvGrpSpPr>
        <xdr:cNvPr id="214" name="1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pSpPr/>
      </xdr:nvGrpSpPr>
      <xdr:grpSpPr>
        <a:xfrm>
          <a:off x="10254941" y="7160866"/>
          <a:ext cx="1504298" cy="488349"/>
          <a:chOff x="1106460" y="361462"/>
          <a:chExt cx="1499899" cy="511636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000-0000D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16" name="TextBox 215">
            <a:extLst>
              <a:ext uri="{FF2B5EF4-FFF2-40B4-BE49-F238E27FC236}">
                <a16:creationId xmlns:a16="http://schemas.microsoft.com/office/drawing/2014/main" id="{00000000-0008-0000-0000-0000D8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17" name="TextBox 216">
            <a:extLst>
              <a:ext uri="{FF2B5EF4-FFF2-40B4-BE49-F238E27FC236}">
                <a16:creationId xmlns:a16="http://schemas.microsoft.com/office/drawing/2014/main" id="{00000000-0008-0000-0000-0000D9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16</xdr:row>
      <xdr:rowOff>13306</xdr:rowOff>
    </xdr:from>
    <xdr:to>
      <xdr:col>22</xdr:col>
      <xdr:colOff>1624639</xdr:colOff>
      <xdr:row>16</xdr:row>
      <xdr:rowOff>501655</xdr:rowOff>
    </xdr:to>
    <xdr:grpSp>
      <xdr:nvGrpSpPr>
        <xdr:cNvPr id="243" name="1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GrpSpPr/>
      </xdr:nvGrpSpPr>
      <xdr:grpSpPr>
        <a:xfrm>
          <a:off x="10254941" y="8181946"/>
          <a:ext cx="1504298" cy="488349"/>
          <a:chOff x="1106460" y="361462"/>
          <a:chExt cx="1499899" cy="511636"/>
        </a:xfrm>
      </xdr:grpSpPr>
      <xdr:pic>
        <xdr:nvPicPr>
          <xdr:cNvPr id="244" name="Picture 243">
            <a:extLst>
              <a:ext uri="{FF2B5EF4-FFF2-40B4-BE49-F238E27FC236}">
                <a16:creationId xmlns:a16="http://schemas.microsoft.com/office/drawing/2014/main" id="{00000000-0008-0000-0000-0000F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45" name="TextBox 244">
            <a:extLst>
              <a:ext uri="{FF2B5EF4-FFF2-40B4-BE49-F238E27FC236}">
                <a16:creationId xmlns:a16="http://schemas.microsoft.com/office/drawing/2014/main" id="{00000000-0008-0000-0000-0000F5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000-0000F8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27</xdr:row>
      <xdr:rowOff>13306</xdr:rowOff>
    </xdr:from>
    <xdr:to>
      <xdr:col>22</xdr:col>
      <xdr:colOff>1624639</xdr:colOff>
      <xdr:row>27</xdr:row>
      <xdr:rowOff>501655</xdr:rowOff>
    </xdr:to>
    <xdr:grpSp>
      <xdr:nvGrpSpPr>
        <xdr:cNvPr id="249" name="1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GrpSpPr/>
      </xdr:nvGrpSpPr>
      <xdr:grpSpPr>
        <a:xfrm>
          <a:off x="10254941" y="13957906"/>
          <a:ext cx="1504298" cy="488349"/>
          <a:chOff x="1106460" y="361462"/>
          <a:chExt cx="1499899" cy="511636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000-0000F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7720</a:t>
            </a:r>
          </a:p>
        </xdr:txBody>
      </xdr:sp>
    </xdr:grpSp>
    <xdr:clientData/>
  </xdr:twoCellAnchor>
  <xdr:twoCellAnchor>
    <xdr:from>
      <xdr:col>22</xdr:col>
      <xdr:colOff>130778</xdr:colOff>
      <xdr:row>30</xdr:row>
      <xdr:rowOff>92221</xdr:rowOff>
    </xdr:from>
    <xdr:to>
      <xdr:col>22</xdr:col>
      <xdr:colOff>1614202</xdr:colOff>
      <xdr:row>30</xdr:row>
      <xdr:rowOff>410697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GrpSpPr/>
      </xdr:nvGrpSpPr>
      <xdr:grpSpPr>
        <a:xfrm>
          <a:off x="10265378" y="15568441"/>
          <a:ext cx="148342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0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0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12000</a:t>
            </a:r>
          </a:p>
        </xdr:txBody>
      </xdr:sp>
    </xdr:grpSp>
    <xdr:clientData/>
  </xdr:twoCellAnchor>
  <xdr:twoCellAnchor>
    <xdr:from>
      <xdr:col>22</xdr:col>
      <xdr:colOff>265881</xdr:colOff>
      <xdr:row>32</xdr:row>
      <xdr:rowOff>14436</xdr:rowOff>
    </xdr:from>
    <xdr:to>
      <xdr:col>22</xdr:col>
      <xdr:colOff>1526342</xdr:colOff>
      <xdr:row>32</xdr:row>
      <xdr:rowOff>476146</xdr:rowOff>
    </xdr:to>
    <xdr:grpSp>
      <xdr:nvGrpSpPr>
        <xdr:cNvPr id="258" name="41GJ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GrpSpPr/>
      </xdr:nvGrpSpPr>
      <xdr:grpSpPr>
        <a:xfrm>
          <a:off x="10400481" y="16511736"/>
          <a:ext cx="1260461" cy="461710"/>
          <a:chOff x="1318531" y="2847443"/>
          <a:chExt cx="1262322" cy="438517"/>
        </a:xfrm>
      </xdr:grpSpPr>
      <xdr:pic>
        <xdr:nvPicPr>
          <xdr:cNvPr id="263" name="Picture 262">
            <a:extLst>
              <a:ext uri="{FF2B5EF4-FFF2-40B4-BE49-F238E27FC236}">
                <a16:creationId xmlns:a16="http://schemas.microsoft.com/office/drawing/2014/main" id="{00000000-0008-0000-0000-00000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000-00000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000-00000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000-00000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8420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000-00000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000-00000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130778</xdr:colOff>
      <xdr:row>34</xdr:row>
      <xdr:rowOff>92221</xdr:rowOff>
    </xdr:from>
    <xdr:to>
      <xdr:col>22</xdr:col>
      <xdr:colOff>1614202</xdr:colOff>
      <xdr:row>34</xdr:row>
      <xdr:rowOff>410697</xdr:rowOff>
    </xdr:to>
    <xdr:grpSp>
      <xdr:nvGrpSpPr>
        <xdr:cNvPr id="269" name="0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GrpSpPr/>
      </xdr:nvGrpSpPr>
      <xdr:grpSpPr>
        <a:xfrm>
          <a:off x="10265378" y="17610601"/>
          <a:ext cx="1483424" cy="318476"/>
          <a:chOff x="1172308" y="1488831"/>
          <a:chExt cx="1505160" cy="318476"/>
        </a:xfrm>
      </xdr:grpSpPr>
      <xdr:pic>
        <xdr:nvPicPr>
          <xdr:cNvPr id="288" name="StraightBar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89" name="TextBox 288">
            <a:extLst>
              <a:ext uri="{FF2B5EF4-FFF2-40B4-BE49-F238E27FC236}">
                <a16:creationId xmlns:a16="http://schemas.microsoft.com/office/drawing/2014/main" id="{00000000-0008-0000-0000-000021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9740</a:t>
            </a:r>
          </a:p>
        </xdr:txBody>
      </xdr:sp>
    </xdr:grpSp>
    <xdr:clientData/>
  </xdr:twoCellAnchor>
  <xdr:twoCellAnchor>
    <xdr:from>
      <xdr:col>22</xdr:col>
      <xdr:colOff>265881</xdr:colOff>
      <xdr:row>35</xdr:row>
      <xdr:rowOff>14436</xdr:rowOff>
    </xdr:from>
    <xdr:to>
      <xdr:col>22</xdr:col>
      <xdr:colOff>1526342</xdr:colOff>
      <xdr:row>35</xdr:row>
      <xdr:rowOff>476146</xdr:rowOff>
    </xdr:to>
    <xdr:grpSp>
      <xdr:nvGrpSpPr>
        <xdr:cNvPr id="294" name="41GJ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GrpSpPr/>
      </xdr:nvGrpSpPr>
      <xdr:grpSpPr>
        <a:xfrm>
          <a:off x="10400481" y="18043356"/>
          <a:ext cx="1260461" cy="461710"/>
          <a:chOff x="1318531" y="2847443"/>
          <a:chExt cx="1262322" cy="438517"/>
        </a:xfrm>
      </xdr:grpSpPr>
      <xdr:pic>
        <xdr:nvPicPr>
          <xdr:cNvPr id="295" name="Picture 294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6" name="TextBox 295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97" name="TextBox 296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98" name="TextBox 297">
            <a:extLst>
              <a:ext uri="{FF2B5EF4-FFF2-40B4-BE49-F238E27FC236}">
                <a16:creationId xmlns:a16="http://schemas.microsoft.com/office/drawing/2014/main" id="{00000000-0008-0000-0000-00002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2160</a:t>
            </a:r>
          </a:p>
        </xdr:txBody>
      </xdr:sp>
      <xdr:sp macro="" textlink="">
        <xdr:nvSpPr>
          <xdr:cNvPr id="299" name="TextBox 298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300" name="TextBox 299">
            <a:extLst>
              <a:ext uri="{FF2B5EF4-FFF2-40B4-BE49-F238E27FC236}">
                <a16:creationId xmlns:a16="http://schemas.microsoft.com/office/drawing/2014/main" id="{00000000-0008-0000-0000-00002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250876</xdr:colOff>
      <xdr:row>37</xdr:row>
      <xdr:rowOff>865</xdr:rowOff>
    </xdr:from>
    <xdr:to>
      <xdr:col>22</xdr:col>
      <xdr:colOff>1494103</xdr:colOff>
      <xdr:row>37</xdr:row>
      <xdr:rowOff>502054</xdr:rowOff>
    </xdr:to>
    <xdr:grpSp>
      <xdr:nvGrpSpPr>
        <xdr:cNvPr id="301" name="42S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GrpSpPr/>
      </xdr:nvGrpSpPr>
      <xdr:grpSpPr>
        <a:xfrm>
          <a:off x="10385476" y="19050865"/>
          <a:ext cx="1243227" cy="501189"/>
          <a:chOff x="1301680" y="5422351"/>
          <a:chExt cx="1334356" cy="518940"/>
        </a:xfrm>
      </xdr:grpSpPr>
      <xdr:grpSp>
        <xdr:nvGrpSpPr>
          <xdr:cNvPr id="308" name="42S1">
            <a:extLst>
              <a:ext uri="{FF2B5EF4-FFF2-40B4-BE49-F238E27FC236}">
                <a16:creationId xmlns:a16="http://schemas.microsoft.com/office/drawing/2014/main" id="{00000000-0008-0000-0000-000034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10" name="Picture 309">
              <a:extLst>
                <a:ext uri="{FF2B5EF4-FFF2-40B4-BE49-F238E27FC236}">
                  <a16:creationId xmlns:a16="http://schemas.microsoft.com/office/drawing/2014/main" id="{00000000-0008-0000-0000-000036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11" name="TextBox 310">
              <a:extLst>
                <a:ext uri="{FF2B5EF4-FFF2-40B4-BE49-F238E27FC236}">
                  <a16:creationId xmlns:a16="http://schemas.microsoft.com/office/drawing/2014/main" id="{00000000-0008-0000-0000-000037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14" name="TextBox 313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15" name="TextBox 314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16" name="TextBox 315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09" name="1212">
            <a:extLst>
              <a:ext uri="{FF2B5EF4-FFF2-40B4-BE49-F238E27FC236}">
                <a16:creationId xmlns:a16="http://schemas.microsoft.com/office/drawing/2014/main" id="{00000000-0008-0000-0000-000035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266700</xdr:colOff>
      <xdr:row>39</xdr:row>
      <xdr:rowOff>7620</xdr:rowOff>
    </xdr:from>
    <xdr:to>
      <xdr:col>22</xdr:col>
      <xdr:colOff>1509927</xdr:colOff>
      <xdr:row>40</xdr:row>
      <xdr:rowOff>5889</xdr:rowOff>
    </xdr:to>
    <xdr:grpSp>
      <xdr:nvGrpSpPr>
        <xdr:cNvPr id="317" name="42S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GrpSpPr/>
      </xdr:nvGrpSpPr>
      <xdr:grpSpPr>
        <a:xfrm>
          <a:off x="10401300" y="20078700"/>
          <a:ext cx="1243227" cy="508809"/>
          <a:chOff x="1301680" y="5422351"/>
          <a:chExt cx="1334356" cy="518940"/>
        </a:xfrm>
      </xdr:grpSpPr>
      <xdr:grpSp>
        <xdr:nvGrpSpPr>
          <xdr:cNvPr id="318" name="42S1">
            <a:extLst>
              <a:ext uri="{FF2B5EF4-FFF2-40B4-BE49-F238E27FC236}">
                <a16:creationId xmlns:a16="http://schemas.microsoft.com/office/drawing/2014/main" id="{00000000-0008-0000-0000-00003E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33" name="Picture 332">
              <a:extLst>
                <a:ext uri="{FF2B5EF4-FFF2-40B4-BE49-F238E27FC236}">
                  <a16:creationId xmlns:a16="http://schemas.microsoft.com/office/drawing/2014/main" id="{00000000-0008-0000-0000-00004D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34" name="TextBox 333">
              <a:extLst>
                <a:ext uri="{FF2B5EF4-FFF2-40B4-BE49-F238E27FC236}">
                  <a16:creationId xmlns:a16="http://schemas.microsoft.com/office/drawing/2014/main" id="{00000000-0008-0000-0000-00004E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35" name="TextBox 334">
              <a:extLst>
                <a:ext uri="{FF2B5EF4-FFF2-40B4-BE49-F238E27FC236}">
                  <a16:creationId xmlns:a16="http://schemas.microsoft.com/office/drawing/2014/main" id="{00000000-0008-0000-0000-00004F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40" name="TextBox 339">
              <a:extLst>
                <a:ext uri="{FF2B5EF4-FFF2-40B4-BE49-F238E27FC236}">
                  <a16:creationId xmlns:a16="http://schemas.microsoft.com/office/drawing/2014/main" id="{00000000-0008-0000-0000-000054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41" name="TextBox 340">
              <a:extLst>
                <a:ext uri="{FF2B5EF4-FFF2-40B4-BE49-F238E27FC236}">
                  <a16:creationId xmlns:a16="http://schemas.microsoft.com/office/drawing/2014/main" id="{00000000-0008-0000-0000-000055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19" name="1212">
            <a:extLst>
              <a:ext uri="{FF2B5EF4-FFF2-40B4-BE49-F238E27FC236}">
                <a16:creationId xmlns:a16="http://schemas.microsoft.com/office/drawing/2014/main" id="{00000000-0008-0000-0000-00003F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4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5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5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2" name="Picture 30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3" name="Picture 3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4" name="Picture 32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5" name="Picture 33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6" name="Picture 42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7" name="Picture 43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8" name="Picture 44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9" name="Picture 45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18</xdr:row>
      <xdr:rowOff>866</xdr:rowOff>
    </xdr:from>
    <xdr:to>
      <xdr:col>22</xdr:col>
      <xdr:colOff>1494103</xdr:colOff>
      <xdr:row>18</xdr:row>
      <xdr:rowOff>502055</xdr:rowOff>
    </xdr:to>
    <xdr:grpSp>
      <xdr:nvGrpSpPr>
        <xdr:cNvPr id="386" name="42S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GrpSpPr/>
      </xdr:nvGrpSpPr>
      <xdr:grpSpPr>
        <a:xfrm>
          <a:off x="10385476" y="9190586"/>
          <a:ext cx="1243227" cy="501189"/>
          <a:chOff x="1301680" y="5422351"/>
          <a:chExt cx="1334356" cy="518940"/>
        </a:xfrm>
      </xdr:grpSpPr>
      <xdr:grpSp>
        <xdr:nvGrpSpPr>
          <xdr:cNvPr id="387" name="42S1">
            <a:extLst>
              <a:ext uri="{FF2B5EF4-FFF2-40B4-BE49-F238E27FC236}">
                <a16:creationId xmlns:a16="http://schemas.microsoft.com/office/drawing/2014/main" id="{00000000-0008-0000-0000-000083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89" name="Picture 388">
              <a:extLst>
                <a:ext uri="{FF2B5EF4-FFF2-40B4-BE49-F238E27FC236}">
                  <a16:creationId xmlns:a16="http://schemas.microsoft.com/office/drawing/2014/main" id="{00000000-0008-0000-0000-000085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90" name="TextBox 389">
              <a:extLst>
                <a:ext uri="{FF2B5EF4-FFF2-40B4-BE49-F238E27FC236}">
                  <a16:creationId xmlns:a16="http://schemas.microsoft.com/office/drawing/2014/main" id="{00000000-0008-0000-0000-000086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391" name="TextBox 390">
              <a:extLst>
                <a:ext uri="{FF2B5EF4-FFF2-40B4-BE49-F238E27FC236}">
                  <a16:creationId xmlns:a16="http://schemas.microsoft.com/office/drawing/2014/main" id="{00000000-0008-0000-0000-000087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392" name="TextBox 391">
              <a:extLst>
                <a:ext uri="{FF2B5EF4-FFF2-40B4-BE49-F238E27FC236}">
                  <a16:creationId xmlns:a16="http://schemas.microsoft.com/office/drawing/2014/main" id="{00000000-0008-0000-0000-000088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6740</a:t>
              </a:r>
            </a:p>
          </xdr:txBody>
        </xdr:sp>
        <xdr:sp macro="" textlink="">
          <xdr:nvSpPr>
            <xdr:cNvPr id="393" name="TextBox 392">
              <a:extLst>
                <a:ext uri="{FF2B5EF4-FFF2-40B4-BE49-F238E27FC236}">
                  <a16:creationId xmlns:a16="http://schemas.microsoft.com/office/drawing/2014/main" id="{00000000-0008-0000-0000-000089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88" name="1212">
            <a:extLst>
              <a:ext uri="{FF2B5EF4-FFF2-40B4-BE49-F238E27FC236}">
                <a16:creationId xmlns:a16="http://schemas.microsoft.com/office/drawing/2014/main" id="{00000000-0008-0000-0000-000084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120341</xdr:colOff>
      <xdr:row>20</xdr:row>
      <xdr:rowOff>43786</xdr:rowOff>
    </xdr:from>
    <xdr:to>
      <xdr:col>22</xdr:col>
      <xdr:colOff>1624639</xdr:colOff>
      <xdr:row>20</xdr:row>
      <xdr:rowOff>532135</xdr:rowOff>
    </xdr:to>
    <xdr:grpSp>
      <xdr:nvGrpSpPr>
        <xdr:cNvPr id="394" name="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GrpSpPr/>
      </xdr:nvGrpSpPr>
      <xdr:grpSpPr>
        <a:xfrm>
          <a:off x="10254941" y="10307926"/>
          <a:ext cx="1504298" cy="488349"/>
          <a:chOff x="1106460" y="361462"/>
          <a:chExt cx="1499899" cy="511636"/>
        </a:xfrm>
      </xdr:grpSpPr>
      <xdr:pic>
        <xdr:nvPicPr>
          <xdr:cNvPr id="395" name="Picture 394">
            <a:extLst>
              <a:ext uri="{FF2B5EF4-FFF2-40B4-BE49-F238E27FC236}">
                <a16:creationId xmlns:a16="http://schemas.microsoft.com/office/drawing/2014/main" id="{00000000-0008-0000-0000-00008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96" name="TextBox 395">
            <a:extLst>
              <a:ext uri="{FF2B5EF4-FFF2-40B4-BE49-F238E27FC236}">
                <a16:creationId xmlns:a16="http://schemas.microsoft.com/office/drawing/2014/main" id="{00000000-0008-0000-0000-00008C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00000000-0008-0000-0000-00008D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8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9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0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1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2" name="Picture 30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3" name="Picture 3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4" name="Picture 32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5" name="Picture 33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9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0" name="Picture 4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1" name="Picture 43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2" name="Picture 44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3" name="Picture 45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41</xdr:row>
      <xdr:rowOff>865</xdr:rowOff>
    </xdr:from>
    <xdr:to>
      <xdr:col>22</xdr:col>
      <xdr:colOff>1494103</xdr:colOff>
      <xdr:row>41</xdr:row>
      <xdr:rowOff>502054</xdr:rowOff>
    </xdr:to>
    <xdr:grpSp>
      <xdr:nvGrpSpPr>
        <xdr:cNvPr id="668" name="42S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GrpSpPr/>
      </xdr:nvGrpSpPr>
      <xdr:grpSpPr>
        <a:xfrm>
          <a:off x="10385476" y="21093025"/>
          <a:ext cx="1243227" cy="501189"/>
          <a:chOff x="1301680" y="5422351"/>
          <a:chExt cx="1334356" cy="518940"/>
        </a:xfrm>
      </xdr:grpSpPr>
      <xdr:grpSp>
        <xdr:nvGrpSpPr>
          <xdr:cNvPr id="669" name="42S1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71" name="Picture 670">
              <a:extLst>
                <a:ext uri="{FF2B5EF4-FFF2-40B4-BE49-F238E27FC236}">
                  <a16:creationId xmlns:a16="http://schemas.microsoft.com/office/drawing/2014/main" id="{00000000-0008-0000-0000-00009F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72" name="TextBox 671">
              <a:extLst>
                <a:ext uri="{FF2B5EF4-FFF2-40B4-BE49-F238E27FC236}">
                  <a16:creationId xmlns:a16="http://schemas.microsoft.com/office/drawing/2014/main" id="{00000000-0008-0000-0000-0000A0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73" name="TextBox 672">
              <a:extLst>
                <a:ext uri="{FF2B5EF4-FFF2-40B4-BE49-F238E27FC236}">
                  <a16:creationId xmlns:a16="http://schemas.microsoft.com/office/drawing/2014/main" id="{00000000-0008-0000-0000-0000A1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74" name="TextBox 673">
              <a:extLst>
                <a:ext uri="{FF2B5EF4-FFF2-40B4-BE49-F238E27FC236}">
                  <a16:creationId xmlns:a16="http://schemas.microsoft.com/office/drawing/2014/main" id="{00000000-0008-0000-0000-0000A2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75" name="TextBox 674">
              <a:extLst>
                <a:ext uri="{FF2B5EF4-FFF2-40B4-BE49-F238E27FC236}">
                  <a16:creationId xmlns:a16="http://schemas.microsoft.com/office/drawing/2014/main" id="{00000000-0008-0000-0000-0000A3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70" name="1212">
            <a:extLst>
              <a:ext uri="{FF2B5EF4-FFF2-40B4-BE49-F238E27FC236}">
                <a16:creationId xmlns:a16="http://schemas.microsoft.com/office/drawing/2014/main" id="{00000000-0008-0000-0000-00009E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59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0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1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2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65" name="Picture 42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82" name="Picture 43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64" name="Picture 4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73" name="Picture 45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0" name="Picture 3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1" name="Picture 3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3" name="Picture 3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4" name="Picture 3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124874</xdr:colOff>
      <xdr:row>43</xdr:row>
      <xdr:rowOff>43729</xdr:rowOff>
    </xdr:from>
    <xdr:to>
      <xdr:col>22</xdr:col>
      <xdr:colOff>1620106</xdr:colOff>
      <xdr:row>43</xdr:row>
      <xdr:rowOff>532134</xdr:rowOff>
    </xdr:to>
    <xdr:grpSp>
      <xdr:nvGrpSpPr>
        <xdr:cNvPr id="572" name="1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GrpSpPr/>
      </xdr:nvGrpSpPr>
      <xdr:grpSpPr>
        <a:xfrm>
          <a:off x="10259474" y="22210309"/>
          <a:ext cx="1495232" cy="488405"/>
          <a:chOff x="1106460" y="361462"/>
          <a:chExt cx="1499899" cy="511571"/>
        </a:xfrm>
      </xdr:grpSpPr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twoCellAnchor>
    <xdr:from>
      <xdr:col>22</xdr:col>
      <xdr:colOff>253573</xdr:colOff>
      <xdr:row>40</xdr:row>
      <xdr:rowOff>3017</xdr:rowOff>
    </xdr:from>
    <xdr:to>
      <xdr:col>22</xdr:col>
      <xdr:colOff>1491407</xdr:colOff>
      <xdr:row>40</xdr:row>
      <xdr:rowOff>499903</xdr:rowOff>
    </xdr:to>
    <xdr:grpSp>
      <xdr:nvGrpSpPr>
        <xdr:cNvPr id="143" name="42S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GrpSpPr/>
      </xdr:nvGrpSpPr>
      <xdr:grpSpPr>
        <a:xfrm>
          <a:off x="10388173" y="20584637"/>
          <a:ext cx="1237834" cy="496886"/>
          <a:chOff x="1301680" y="5422351"/>
          <a:chExt cx="1334356" cy="518940"/>
        </a:xfrm>
      </xdr:grpSpPr>
      <xdr:grpSp>
        <xdr:nvGrpSpPr>
          <xdr:cNvPr id="144" name="42S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65" name="Picture 164">
              <a:extLst>
                <a:ext uri="{FF2B5EF4-FFF2-40B4-BE49-F238E27FC236}">
                  <a16:creationId xmlns:a16="http://schemas.microsoft.com/office/drawing/2014/main" id="{00000000-0008-0000-0000-0000A5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66" name="TextBox 165">
              <a:extLst>
                <a:ext uri="{FF2B5EF4-FFF2-40B4-BE49-F238E27FC236}">
                  <a16:creationId xmlns:a16="http://schemas.microsoft.com/office/drawing/2014/main" id="{00000000-0008-0000-0000-0000A6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167" name="TextBox 166">
              <a:extLst>
                <a:ext uri="{FF2B5EF4-FFF2-40B4-BE49-F238E27FC236}">
                  <a16:creationId xmlns:a16="http://schemas.microsoft.com/office/drawing/2014/main" id="{00000000-0008-0000-0000-0000A7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168" name="TextBox 167">
              <a:extLst>
                <a:ext uri="{FF2B5EF4-FFF2-40B4-BE49-F238E27FC236}">
                  <a16:creationId xmlns:a16="http://schemas.microsoft.com/office/drawing/2014/main" id="{00000000-0008-0000-0000-0000A8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169" name="TextBox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164" name="1212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124874</xdr:colOff>
      <xdr:row>38</xdr:row>
      <xdr:rowOff>13248</xdr:rowOff>
    </xdr:from>
    <xdr:to>
      <xdr:col>22</xdr:col>
      <xdr:colOff>1620106</xdr:colOff>
      <xdr:row>38</xdr:row>
      <xdr:rowOff>501653</xdr:rowOff>
    </xdr:to>
    <xdr:grpSp>
      <xdr:nvGrpSpPr>
        <xdr:cNvPr id="605" name="1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GrpSpPr/>
      </xdr:nvGrpSpPr>
      <xdr:grpSpPr>
        <a:xfrm>
          <a:off x="10259474" y="19573788"/>
          <a:ext cx="1495232" cy="488405"/>
          <a:chOff x="1106460" y="361462"/>
          <a:chExt cx="1499899" cy="511571"/>
        </a:xfrm>
      </xdr:grpSpPr>
      <xdr:pic>
        <xdr:nvPicPr>
          <xdr:cNvPr id="606" name="Picture 605">
            <a:extLst>
              <a:ext uri="{FF2B5EF4-FFF2-40B4-BE49-F238E27FC236}">
                <a16:creationId xmlns:a16="http://schemas.microsoft.com/office/drawing/2014/main" id="{00000000-0008-0000-0000-00005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7" name="TextBox 606">
            <a:extLst>
              <a:ext uri="{FF2B5EF4-FFF2-40B4-BE49-F238E27FC236}">
                <a16:creationId xmlns:a16="http://schemas.microsoft.com/office/drawing/2014/main" id="{00000000-0008-0000-0000-00005F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8" name="TextBox 607">
            <a:extLst>
              <a:ext uri="{FF2B5EF4-FFF2-40B4-BE49-F238E27FC236}">
                <a16:creationId xmlns:a16="http://schemas.microsoft.com/office/drawing/2014/main" id="{00000000-0008-0000-0000-000060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8550</a:t>
            </a:r>
          </a:p>
        </xdr:txBody>
      </xdr:sp>
    </xdr:grpSp>
    <xdr:clientData/>
  </xdr:twoCellAnchor>
  <xdr:twoCellAnchor>
    <xdr:from>
      <xdr:col>22</xdr:col>
      <xdr:colOff>124874</xdr:colOff>
      <xdr:row>44</xdr:row>
      <xdr:rowOff>123738</xdr:rowOff>
    </xdr:from>
    <xdr:to>
      <xdr:col>22</xdr:col>
      <xdr:colOff>1620106</xdr:colOff>
      <xdr:row>44</xdr:row>
      <xdr:rowOff>612143</xdr:rowOff>
    </xdr:to>
    <xdr:grpSp>
      <xdr:nvGrpSpPr>
        <xdr:cNvPr id="609" name="1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GrpSpPr/>
      </xdr:nvGrpSpPr>
      <xdr:grpSpPr>
        <a:xfrm>
          <a:off x="10259474" y="22854198"/>
          <a:ext cx="1495232" cy="488405"/>
          <a:chOff x="1106460" y="361462"/>
          <a:chExt cx="1499899" cy="511571"/>
        </a:xfrm>
      </xdr:grpSpPr>
      <xdr:pic>
        <xdr:nvPicPr>
          <xdr:cNvPr id="610" name="Picture 609">
            <a:extLst>
              <a:ext uri="{FF2B5EF4-FFF2-40B4-BE49-F238E27FC236}">
                <a16:creationId xmlns:a16="http://schemas.microsoft.com/office/drawing/2014/main" id="{00000000-0008-0000-0000-00006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31" name="TextBox 630">
            <a:extLst>
              <a:ext uri="{FF2B5EF4-FFF2-40B4-BE49-F238E27FC236}">
                <a16:creationId xmlns:a16="http://schemas.microsoft.com/office/drawing/2014/main" id="{00000000-0008-0000-0000-000077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32" name="TextBox 631">
            <a:extLst>
              <a:ext uri="{FF2B5EF4-FFF2-40B4-BE49-F238E27FC236}">
                <a16:creationId xmlns:a16="http://schemas.microsoft.com/office/drawing/2014/main" id="{00000000-0008-0000-0000-000078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6500</a:t>
            </a:r>
          </a:p>
        </xdr:txBody>
      </xdr:sp>
    </xdr:grpSp>
    <xdr:clientData/>
  </xdr:twoCellAnchor>
  <xdr:twoCellAnchor>
    <xdr:from>
      <xdr:col>22</xdr:col>
      <xdr:colOff>281940</xdr:colOff>
      <xdr:row>45</xdr:row>
      <xdr:rowOff>91440</xdr:rowOff>
    </xdr:from>
    <xdr:to>
      <xdr:col>22</xdr:col>
      <xdr:colOff>1525167</xdr:colOff>
      <xdr:row>45</xdr:row>
      <xdr:rowOff>592629</xdr:rowOff>
    </xdr:to>
    <xdr:grpSp>
      <xdr:nvGrpSpPr>
        <xdr:cNvPr id="633" name="42S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GrpSpPr/>
      </xdr:nvGrpSpPr>
      <xdr:grpSpPr>
        <a:xfrm>
          <a:off x="10416540" y="23545800"/>
          <a:ext cx="1243227" cy="501189"/>
          <a:chOff x="1301680" y="5422351"/>
          <a:chExt cx="1334356" cy="518940"/>
        </a:xfrm>
      </xdr:grpSpPr>
      <xdr:grpSp>
        <xdr:nvGrpSpPr>
          <xdr:cNvPr id="634" name="42S1">
            <a:extLst>
              <a:ext uri="{FF2B5EF4-FFF2-40B4-BE49-F238E27FC236}">
                <a16:creationId xmlns:a16="http://schemas.microsoft.com/office/drawing/2014/main" id="{00000000-0008-0000-0000-00007A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36" name="Picture 635">
              <a:extLst>
                <a:ext uri="{FF2B5EF4-FFF2-40B4-BE49-F238E27FC236}">
                  <a16:creationId xmlns:a16="http://schemas.microsoft.com/office/drawing/2014/main" id="{00000000-0008-0000-0000-00007C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37" name="TextBox 636">
              <a:extLst>
                <a:ext uri="{FF2B5EF4-FFF2-40B4-BE49-F238E27FC236}">
                  <a16:creationId xmlns:a16="http://schemas.microsoft.com/office/drawing/2014/main" id="{00000000-0008-0000-0000-00007D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38" name="TextBox 637">
              <a:extLst>
                <a:ext uri="{FF2B5EF4-FFF2-40B4-BE49-F238E27FC236}">
                  <a16:creationId xmlns:a16="http://schemas.microsoft.com/office/drawing/2014/main" id="{00000000-0008-0000-0000-00007E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40" name="TextBox 639">
              <a:extLst>
                <a:ext uri="{FF2B5EF4-FFF2-40B4-BE49-F238E27FC236}">
                  <a16:creationId xmlns:a16="http://schemas.microsoft.com/office/drawing/2014/main" id="{00000000-0008-0000-0000-000080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41" name="TextBox 640">
              <a:extLst>
                <a:ext uri="{FF2B5EF4-FFF2-40B4-BE49-F238E27FC236}">
                  <a16:creationId xmlns:a16="http://schemas.microsoft.com/office/drawing/2014/main" id="{00000000-0008-0000-0000-000081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35" name="1212">
            <a:extLst>
              <a:ext uri="{FF2B5EF4-FFF2-40B4-BE49-F238E27FC236}">
                <a16:creationId xmlns:a16="http://schemas.microsoft.com/office/drawing/2014/main" id="{00000000-0008-0000-0000-00007B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7" name="Picture 1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9" name="Picture 1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0" name="Picture 1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1" name="Picture 1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5" name="Picture 1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6" name="Picture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" name="Picture 1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" name="Picture 13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1" name="Picture 17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" name="Picture 1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" name="Picture 1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" name="Picture 20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" name="Picture 2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" name="Picture 2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3" name="Picture 25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5" name="Picture 1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7" name="Picture 1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9" name="Picture 1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1" name="Picture 12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3" name="Picture 1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8" name="Picture 20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9" name="Picture 2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0" name="Picture 24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1" name="Picture 25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3" name="Picture 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5" name="Picture 12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7" name="Picture 1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9" name="Picture 12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1" name="Picture 1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3" name="Picture 1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5" name="Picture 12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6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7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9" name="Picture 13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0" name="Picture 16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1" name="Picture 17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5" name="Picture 13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6" name="Picture 1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7" name="Picture 17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9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80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1" name="Picture 13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2" name="Picture 16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3" name="Picture 17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76200</xdr:colOff>
      <xdr:row>7</xdr:row>
      <xdr:rowOff>53340</xdr:rowOff>
    </xdr:from>
    <xdr:to>
      <xdr:col>22</xdr:col>
      <xdr:colOff>1424940</xdr:colOff>
      <xdr:row>7</xdr:row>
      <xdr:rowOff>448313</xdr:rowOff>
    </xdr:to>
    <xdr:grpSp>
      <xdr:nvGrpSpPr>
        <xdr:cNvPr id="92" name="1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GrpSpPr/>
      </xdr:nvGrpSpPr>
      <xdr:grpSpPr>
        <a:xfrm>
          <a:off x="9012382" y="3032067"/>
          <a:ext cx="1487285" cy="394973"/>
          <a:chOff x="1106460" y="361462"/>
          <a:chExt cx="1499899" cy="511571"/>
        </a:xfrm>
      </xdr:grpSpPr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7100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8" name="Picture 18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9" name="Picture 19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8</xdr:row>
      <xdr:rowOff>92222</xdr:rowOff>
    </xdr:from>
    <xdr:to>
      <xdr:col>23</xdr:col>
      <xdr:colOff>1849</xdr:colOff>
      <xdr:row>8</xdr:row>
      <xdr:rowOff>410698</xdr:rowOff>
    </xdr:to>
    <xdr:grpSp>
      <xdr:nvGrpSpPr>
        <xdr:cNvPr id="104" name="0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GrpSpPr/>
      </xdr:nvGrpSpPr>
      <xdr:grpSpPr>
        <a:xfrm>
          <a:off x="9071493" y="3585547"/>
          <a:ext cx="1628044" cy="318476"/>
          <a:chOff x="1172308" y="1488831"/>
          <a:chExt cx="1505160" cy="318476"/>
        </a:xfrm>
      </xdr:grpSpPr>
      <xdr:pic>
        <xdr:nvPicPr>
          <xdr:cNvPr id="105" name="StraightBar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5100</a:t>
            </a:r>
          </a:p>
        </xdr:txBody>
      </xdr:sp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09" name="Picture 1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10" name="Picture 1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7" name="Picture 18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8" name="Picture 19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10</xdr:row>
      <xdr:rowOff>92222</xdr:rowOff>
    </xdr:from>
    <xdr:to>
      <xdr:col>23</xdr:col>
      <xdr:colOff>1849</xdr:colOff>
      <xdr:row>10</xdr:row>
      <xdr:rowOff>410698</xdr:rowOff>
    </xdr:to>
    <xdr:grpSp>
      <xdr:nvGrpSpPr>
        <xdr:cNvPr id="122" name="0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pSpPr/>
      </xdr:nvGrpSpPr>
      <xdr:grpSpPr>
        <a:xfrm>
          <a:off x="9071493" y="4614741"/>
          <a:ext cx="1628044" cy="318476"/>
          <a:chOff x="1172308" y="1488831"/>
          <a:chExt cx="1505160" cy="318476"/>
        </a:xfrm>
      </xdr:grpSpPr>
      <xdr:pic>
        <xdr:nvPicPr>
          <xdr:cNvPr id="123" name="StraightBar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56294</xdr:colOff>
      <xdr:row>9</xdr:row>
      <xdr:rowOff>43729</xdr:rowOff>
    </xdr:from>
    <xdr:to>
      <xdr:col>22</xdr:col>
      <xdr:colOff>1566766</xdr:colOff>
      <xdr:row>10</xdr:row>
      <xdr:rowOff>29214</xdr:rowOff>
    </xdr:to>
    <xdr:grpSp>
      <xdr:nvGrpSpPr>
        <xdr:cNvPr id="125" name="11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pSpPr/>
      </xdr:nvGrpSpPr>
      <xdr:grpSpPr>
        <a:xfrm>
          <a:off x="8992476" y="4051651"/>
          <a:ext cx="1649017" cy="500082"/>
          <a:chOff x="1106460" y="361462"/>
          <a:chExt cx="1499899" cy="511571"/>
        </a:xfrm>
      </xdr:grpSpPr>
      <xdr:pic>
        <xdr:nvPicPr>
          <xdr:cNvPr id="126" name="Picture 125">
            <a:extLst>
              <a:ext uri="{FF2B5EF4-FFF2-40B4-BE49-F238E27FC236}">
                <a16:creationId xmlns:a16="http://schemas.microsoft.com/office/drawing/2014/main" id="{00000000-0008-0000-01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00000000-0008-0000-0100-00007F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7350</a:t>
            </a:r>
          </a:p>
        </xdr:txBody>
      </xdr:sp>
    </xdr:grpSp>
    <xdr:clientData/>
  </xdr:two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2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3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1" name="Picture 18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2" name="Picture 19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11</xdr:row>
      <xdr:rowOff>92222</xdr:rowOff>
    </xdr:from>
    <xdr:to>
      <xdr:col>23</xdr:col>
      <xdr:colOff>1849</xdr:colOff>
      <xdr:row>11</xdr:row>
      <xdr:rowOff>410698</xdr:rowOff>
    </xdr:to>
    <xdr:grpSp>
      <xdr:nvGrpSpPr>
        <xdr:cNvPr id="136" name="0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GrpSpPr/>
      </xdr:nvGrpSpPr>
      <xdr:grpSpPr>
        <a:xfrm>
          <a:off x="9071493" y="5129339"/>
          <a:ext cx="1628044" cy="318476"/>
          <a:chOff x="1172308" y="1488831"/>
          <a:chExt cx="1505160" cy="318476"/>
        </a:xfrm>
      </xdr:grpSpPr>
      <xdr:pic>
        <xdr:nvPicPr>
          <xdr:cNvPr id="137" name="StraightBar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38" name="TextBox 137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3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4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1" name="Picture 18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2" name="Picture 19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8" name="Picture 18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9" name="Picture 19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5" name="Picture 18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6" name="Picture 19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2" name="Picture 18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3" name="Picture 19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15</xdr:row>
      <xdr:rowOff>92222</xdr:rowOff>
    </xdr:from>
    <xdr:to>
      <xdr:col>23</xdr:col>
      <xdr:colOff>1849</xdr:colOff>
      <xdr:row>15</xdr:row>
      <xdr:rowOff>410698</xdr:rowOff>
    </xdr:to>
    <xdr:grpSp>
      <xdr:nvGrpSpPr>
        <xdr:cNvPr id="164" name="0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pSpPr/>
      </xdr:nvGrpSpPr>
      <xdr:grpSpPr>
        <a:xfrm>
          <a:off x="9071493" y="7187728"/>
          <a:ext cx="1628044" cy="318476"/>
          <a:chOff x="1172308" y="1488831"/>
          <a:chExt cx="1505160" cy="318476"/>
        </a:xfrm>
      </xdr:grpSpPr>
      <xdr:pic>
        <xdr:nvPicPr>
          <xdr:cNvPr id="165" name="StraightBar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69" name="Picture 1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70" name="Picture 1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7" name="Picture 18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8" name="Picture 19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5" name="Picture 18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6" name="Picture 19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2" name="Picture 18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3" name="Picture 19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199" name="Picture 1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200" name="Picture 1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3" name="Picture 18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4" name="Picture 19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7" name="Picture 18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8" name="Picture 19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0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1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1" name="Picture 18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2" name="Picture 19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5" name="Picture 18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6" name="Picture 19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19" name="Picture 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20" name="Picture 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12</xdr:row>
      <xdr:rowOff>92222</xdr:rowOff>
    </xdr:from>
    <xdr:to>
      <xdr:col>23</xdr:col>
      <xdr:colOff>1849</xdr:colOff>
      <xdr:row>12</xdr:row>
      <xdr:rowOff>410698</xdr:rowOff>
    </xdr:to>
    <xdr:grpSp>
      <xdr:nvGrpSpPr>
        <xdr:cNvPr id="221" name="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GrpSpPr/>
      </xdr:nvGrpSpPr>
      <xdr:grpSpPr>
        <a:xfrm>
          <a:off x="9071493" y="5643936"/>
          <a:ext cx="1628044" cy="318476"/>
          <a:chOff x="1172308" y="1488831"/>
          <a:chExt cx="1505160" cy="318476"/>
        </a:xfrm>
      </xdr:grpSpPr>
      <xdr:pic>
        <xdr:nvPicPr>
          <xdr:cNvPr id="222" name="StraightBar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100-0000D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135311</xdr:colOff>
      <xdr:row>13</xdr:row>
      <xdr:rowOff>92222</xdr:rowOff>
    </xdr:from>
    <xdr:to>
      <xdr:col>23</xdr:col>
      <xdr:colOff>1849</xdr:colOff>
      <xdr:row>13</xdr:row>
      <xdr:rowOff>410698</xdr:rowOff>
    </xdr:to>
    <xdr:grpSp>
      <xdr:nvGrpSpPr>
        <xdr:cNvPr id="224" name="0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pSpPr/>
      </xdr:nvGrpSpPr>
      <xdr:grpSpPr>
        <a:xfrm>
          <a:off x="9071493" y="6158534"/>
          <a:ext cx="1628044" cy="318476"/>
          <a:chOff x="1172308" y="1488831"/>
          <a:chExt cx="1505160" cy="318476"/>
        </a:xfrm>
      </xdr:grpSpPr>
      <xdr:pic>
        <xdr:nvPicPr>
          <xdr:cNvPr id="225" name="StraightBar">
            <a:extLst>
              <a:ext uri="{FF2B5EF4-FFF2-40B4-BE49-F238E27FC236}">
                <a16:creationId xmlns:a16="http://schemas.microsoft.com/office/drawing/2014/main" id="{00000000-0008-0000-0100-0000E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6" name="TextBox 225">
            <a:extLst>
              <a:ext uri="{FF2B5EF4-FFF2-40B4-BE49-F238E27FC236}">
                <a16:creationId xmlns:a16="http://schemas.microsoft.com/office/drawing/2014/main" id="{00000000-0008-0000-0100-0000E2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twoCellAnchor>
    <xdr:from>
      <xdr:col>21</xdr:col>
      <xdr:colOff>135311</xdr:colOff>
      <xdr:row>14</xdr:row>
      <xdr:rowOff>92222</xdr:rowOff>
    </xdr:from>
    <xdr:to>
      <xdr:col>23</xdr:col>
      <xdr:colOff>1849</xdr:colOff>
      <xdr:row>14</xdr:row>
      <xdr:rowOff>410698</xdr:rowOff>
    </xdr:to>
    <xdr:grpSp>
      <xdr:nvGrpSpPr>
        <xdr:cNvPr id="227" name="0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pSpPr/>
      </xdr:nvGrpSpPr>
      <xdr:grpSpPr>
        <a:xfrm>
          <a:off x="9071493" y="6673131"/>
          <a:ext cx="1628044" cy="318476"/>
          <a:chOff x="1172308" y="1488831"/>
          <a:chExt cx="1505160" cy="318476"/>
        </a:xfrm>
      </xdr:grpSpPr>
      <xdr:pic>
        <xdr:nvPicPr>
          <xdr:cNvPr id="228" name="StraightBar">
            <a:extLst>
              <a:ext uri="{FF2B5EF4-FFF2-40B4-BE49-F238E27FC236}">
                <a16:creationId xmlns:a16="http://schemas.microsoft.com/office/drawing/2014/main" id="{00000000-0008-0000-0100-0000E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100-0000E5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5450</a:t>
            </a:r>
          </a:p>
        </xdr:txBody>
      </xdr:sp>
    </xdr:grpSp>
    <xdr:clientData/>
  </xdr:twoCellAnchor>
  <xdr:twoCellAnchor>
    <xdr:from>
      <xdr:col>21</xdr:col>
      <xdr:colOff>71534</xdr:colOff>
      <xdr:row>16</xdr:row>
      <xdr:rowOff>28488</xdr:rowOff>
    </xdr:from>
    <xdr:to>
      <xdr:col>22</xdr:col>
      <xdr:colOff>1429606</xdr:colOff>
      <xdr:row>17</xdr:row>
      <xdr:rowOff>13973</xdr:rowOff>
    </xdr:to>
    <xdr:grpSp>
      <xdr:nvGrpSpPr>
        <xdr:cNvPr id="230" name="11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pSpPr/>
      </xdr:nvGrpSpPr>
      <xdr:grpSpPr>
        <a:xfrm>
          <a:off x="9007716" y="7638592"/>
          <a:ext cx="1496617" cy="500082"/>
          <a:chOff x="1106460" y="361462"/>
          <a:chExt cx="1499899" cy="511571"/>
        </a:xfrm>
      </xdr:grpSpPr>
      <xdr:pic>
        <xdr:nvPicPr>
          <xdr:cNvPr id="231" name="Picture 230">
            <a:extLst>
              <a:ext uri="{FF2B5EF4-FFF2-40B4-BE49-F238E27FC236}">
                <a16:creationId xmlns:a16="http://schemas.microsoft.com/office/drawing/2014/main" id="{00000000-0008-0000-0100-0000E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100-0000E9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7850</a:t>
            </a:r>
          </a:p>
        </xdr:txBody>
      </xdr:sp>
    </xdr:grpSp>
    <xdr:clientData/>
  </xdr:twoCellAnchor>
  <xdr:twoCellAnchor>
    <xdr:from>
      <xdr:col>21</xdr:col>
      <xdr:colOff>71534</xdr:colOff>
      <xdr:row>17</xdr:row>
      <xdr:rowOff>5629</xdr:rowOff>
    </xdr:from>
    <xdr:to>
      <xdr:col>22</xdr:col>
      <xdr:colOff>1582006</xdr:colOff>
      <xdr:row>17</xdr:row>
      <xdr:rowOff>494034</xdr:rowOff>
    </xdr:to>
    <xdr:grpSp>
      <xdr:nvGrpSpPr>
        <xdr:cNvPr id="234" name="11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pSpPr/>
      </xdr:nvGrpSpPr>
      <xdr:grpSpPr>
        <a:xfrm>
          <a:off x="9007716" y="8130330"/>
          <a:ext cx="1649017" cy="488405"/>
          <a:chOff x="1106460" y="361462"/>
          <a:chExt cx="1499899" cy="511571"/>
        </a:xfrm>
      </xdr:grpSpPr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100-0000EC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7" name="TextBox 236">
            <a:extLst>
              <a:ext uri="{FF2B5EF4-FFF2-40B4-BE49-F238E27FC236}">
                <a16:creationId xmlns:a16="http://schemas.microsoft.com/office/drawing/2014/main" id="{00000000-0008-0000-0100-0000ED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7400</a:t>
            </a:r>
          </a:p>
        </xdr:txBody>
      </xdr:sp>
    </xdr:grpSp>
    <xdr:clientData/>
  </xdr:twoCellAnchor>
  <xdr:twoCellAnchor>
    <xdr:from>
      <xdr:col>21</xdr:col>
      <xdr:colOff>135311</xdr:colOff>
      <xdr:row>18</xdr:row>
      <xdr:rowOff>92222</xdr:rowOff>
    </xdr:from>
    <xdr:to>
      <xdr:col>23</xdr:col>
      <xdr:colOff>1849</xdr:colOff>
      <xdr:row>18</xdr:row>
      <xdr:rowOff>410698</xdr:rowOff>
    </xdr:to>
    <xdr:grpSp>
      <xdr:nvGrpSpPr>
        <xdr:cNvPr id="238" name="0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9071493" y="8731521"/>
          <a:ext cx="1628044" cy="318476"/>
          <a:chOff x="1172308" y="1488831"/>
          <a:chExt cx="1505160" cy="318476"/>
        </a:xfrm>
      </xdr:grpSpPr>
      <xdr:pic>
        <xdr:nvPicPr>
          <xdr:cNvPr id="239" name="StraightBar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0" name="TextBox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6950</a:t>
            </a:r>
          </a:p>
        </xdr:txBody>
      </xdr:sp>
    </xdr:grpSp>
    <xdr:clientData/>
  </xdr:twoCellAnchor>
  <xdr:twoCellAnchor>
    <xdr:from>
      <xdr:col>21</xdr:col>
      <xdr:colOff>135311</xdr:colOff>
      <xdr:row>19</xdr:row>
      <xdr:rowOff>92222</xdr:rowOff>
    </xdr:from>
    <xdr:to>
      <xdr:col>23</xdr:col>
      <xdr:colOff>1849</xdr:colOff>
      <xdr:row>19</xdr:row>
      <xdr:rowOff>410698</xdr:rowOff>
    </xdr:to>
    <xdr:grpSp>
      <xdr:nvGrpSpPr>
        <xdr:cNvPr id="241" name="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pSpPr/>
      </xdr:nvGrpSpPr>
      <xdr:grpSpPr>
        <a:xfrm>
          <a:off x="9071493" y="9246118"/>
          <a:ext cx="1628044" cy="318476"/>
          <a:chOff x="1172308" y="1488831"/>
          <a:chExt cx="1505160" cy="318476"/>
        </a:xfrm>
      </xdr:grpSpPr>
      <xdr:pic>
        <xdr:nvPicPr>
          <xdr:cNvPr id="242" name="StraightBar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5700</a:t>
            </a:r>
          </a:p>
        </xdr:txBody>
      </xdr:sp>
    </xdr:grpSp>
    <xdr:clientData/>
  </xdr:twoCellAnchor>
  <xdr:twoCellAnchor>
    <xdr:from>
      <xdr:col>21</xdr:col>
      <xdr:colOff>135311</xdr:colOff>
      <xdr:row>20</xdr:row>
      <xdr:rowOff>92222</xdr:rowOff>
    </xdr:from>
    <xdr:to>
      <xdr:col>23</xdr:col>
      <xdr:colOff>1849</xdr:colOff>
      <xdr:row>20</xdr:row>
      <xdr:rowOff>410698</xdr:rowOff>
    </xdr:to>
    <xdr:grpSp>
      <xdr:nvGrpSpPr>
        <xdr:cNvPr id="244" name="0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pSpPr/>
      </xdr:nvGrpSpPr>
      <xdr:grpSpPr>
        <a:xfrm>
          <a:off x="9071493" y="9760716"/>
          <a:ext cx="1628044" cy="318476"/>
          <a:chOff x="1172308" y="1488831"/>
          <a:chExt cx="1505160" cy="318476"/>
        </a:xfrm>
      </xdr:grpSpPr>
      <xdr:pic>
        <xdr:nvPicPr>
          <xdr:cNvPr id="245" name="StraightBar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6" name="TextBox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6940</a:t>
            </a:r>
          </a:p>
        </xdr:txBody>
      </xdr:sp>
    </xdr:grpSp>
    <xdr:clientData/>
  </xdr:twoCellAnchor>
  <xdr:twoCellAnchor>
    <xdr:from>
      <xdr:col>21</xdr:col>
      <xdr:colOff>135311</xdr:colOff>
      <xdr:row>21</xdr:row>
      <xdr:rowOff>92222</xdr:rowOff>
    </xdr:from>
    <xdr:to>
      <xdr:col>23</xdr:col>
      <xdr:colOff>1849</xdr:colOff>
      <xdr:row>21</xdr:row>
      <xdr:rowOff>410698</xdr:rowOff>
    </xdr:to>
    <xdr:grpSp>
      <xdr:nvGrpSpPr>
        <xdr:cNvPr id="247" name="0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pSpPr/>
      </xdr:nvGrpSpPr>
      <xdr:grpSpPr>
        <a:xfrm>
          <a:off x="9071493" y="10275313"/>
          <a:ext cx="1628044" cy="318476"/>
          <a:chOff x="1172308" y="1488831"/>
          <a:chExt cx="1505160" cy="318476"/>
        </a:xfrm>
      </xdr:grpSpPr>
      <xdr:pic>
        <xdr:nvPicPr>
          <xdr:cNvPr id="248" name="StraightBar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22</xdr:row>
      <xdr:rowOff>92222</xdr:rowOff>
    </xdr:from>
    <xdr:to>
      <xdr:col>23</xdr:col>
      <xdr:colOff>1849</xdr:colOff>
      <xdr:row>22</xdr:row>
      <xdr:rowOff>410698</xdr:rowOff>
    </xdr:to>
    <xdr:grpSp>
      <xdr:nvGrpSpPr>
        <xdr:cNvPr id="250" name="0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pSpPr/>
      </xdr:nvGrpSpPr>
      <xdr:grpSpPr>
        <a:xfrm>
          <a:off x="9071493" y="10789910"/>
          <a:ext cx="1628044" cy="318476"/>
          <a:chOff x="1172308" y="1488831"/>
          <a:chExt cx="1505160" cy="318476"/>
        </a:xfrm>
      </xdr:grpSpPr>
      <xdr:pic>
        <xdr:nvPicPr>
          <xdr:cNvPr id="251" name="StraightBar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6750</a:t>
            </a:r>
          </a:p>
        </xdr:txBody>
      </xdr:sp>
    </xdr:grpSp>
    <xdr:clientData/>
  </xdr:twoCellAnchor>
  <xdr:twoCellAnchor>
    <xdr:from>
      <xdr:col>21</xdr:col>
      <xdr:colOff>135311</xdr:colOff>
      <xdr:row>23</xdr:row>
      <xdr:rowOff>92222</xdr:rowOff>
    </xdr:from>
    <xdr:to>
      <xdr:col>23</xdr:col>
      <xdr:colOff>1849</xdr:colOff>
      <xdr:row>23</xdr:row>
      <xdr:rowOff>410698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pSpPr/>
      </xdr:nvGrpSpPr>
      <xdr:grpSpPr>
        <a:xfrm>
          <a:off x="9071493" y="11304508"/>
          <a:ext cx="162804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24</xdr:row>
      <xdr:rowOff>92222</xdr:rowOff>
    </xdr:from>
    <xdr:to>
      <xdr:col>23</xdr:col>
      <xdr:colOff>1849</xdr:colOff>
      <xdr:row>24</xdr:row>
      <xdr:rowOff>410698</xdr:rowOff>
    </xdr:to>
    <xdr:grpSp>
      <xdr:nvGrpSpPr>
        <xdr:cNvPr id="256" name="0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pSpPr/>
      </xdr:nvGrpSpPr>
      <xdr:grpSpPr>
        <a:xfrm>
          <a:off x="9071493" y="11819105"/>
          <a:ext cx="1628044" cy="318476"/>
          <a:chOff x="1172308" y="1488831"/>
          <a:chExt cx="1505160" cy="318476"/>
        </a:xfrm>
      </xdr:grpSpPr>
      <xdr:pic>
        <xdr:nvPicPr>
          <xdr:cNvPr id="257" name="StraightBar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8" name="TextBox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10990</a:t>
            </a:r>
          </a:p>
        </xdr:txBody>
      </xdr:sp>
    </xdr:grpSp>
    <xdr:clientData/>
  </xdr:twoCellAnchor>
  <xdr:twoCellAnchor>
    <xdr:from>
      <xdr:col>21</xdr:col>
      <xdr:colOff>135311</xdr:colOff>
      <xdr:row>25</xdr:row>
      <xdr:rowOff>92222</xdr:rowOff>
    </xdr:from>
    <xdr:to>
      <xdr:col>23</xdr:col>
      <xdr:colOff>1849</xdr:colOff>
      <xdr:row>25</xdr:row>
      <xdr:rowOff>410698</xdr:rowOff>
    </xdr:to>
    <xdr:grpSp>
      <xdr:nvGrpSpPr>
        <xdr:cNvPr id="259" name="0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pSpPr/>
      </xdr:nvGrpSpPr>
      <xdr:grpSpPr>
        <a:xfrm>
          <a:off x="9071493" y="12333703"/>
          <a:ext cx="1628044" cy="318476"/>
          <a:chOff x="1172308" y="1488831"/>
          <a:chExt cx="1505160" cy="318476"/>
        </a:xfrm>
      </xdr:grpSpPr>
      <xdr:pic>
        <xdr:nvPicPr>
          <xdr:cNvPr id="260" name="StraightBar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4" name="Picture 18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5" name="Picture 19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26</xdr:row>
      <xdr:rowOff>92222</xdr:rowOff>
    </xdr:from>
    <xdr:to>
      <xdr:col>23</xdr:col>
      <xdr:colOff>1849</xdr:colOff>
      <xdr:row>26</xdr:row>
      <xdr:rowOff>410698</xdr:rowOff>
    </xdr:to>
    <xdr:grpSp>
      <xdr:nvGrpSpPr>
        <xdr:cNvPr id="266" name="0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GrpSpPr/>
      </xdr:nvGrpSpPr>
      <xdr:grpSpPr>
        <a:xfrm>
          <a:off x="9071493" y="12848300"/>
          <a:ext cx="1628044" cy="318476"/>
          <a:chOff x="1172308" y="1488831"/>
          <a:chExt cx="1505160" cy="318476"/>
        </a:xfrm>
      </xdr:grpSpPr>
      <xdr:pic>
        <xdr:nvPicPr>
          <xdr:cNvPr id="267" name="StraightBar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6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7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1" name="Picture 18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2" name="Picture 19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6" name="Picture 18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7" name="Picture 19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99060</xdr:colOff>
      <xdr:row>26</xdr:row>
      <xdr:rowOff>472440</xdr:rowOff>
    </xdr:from>
    <xdr:to>
      <xdr:col>23</xdr:col>
      <xdr:colOff>53340</xdr:colOff>
      <xdr:row>27</xdr:row>
      <xdr:rowOff>571501</xdr:rowOff>
    </xdr:to>
    <xdr:grpSp>
      <xdr:nvGrpSpPr>
        <xdr:cNvPr id="307" name="107A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GrpSpPr/>
      </xdr:nvGrpSpPr>
      <xdr:grpSpPr>
        <a:xfrm>
          <a:off x="9173787" y="13228518"/>
          <a:ext cx="1577241" cy="613658"/>
          <a:chOff x="5609358" y="12365182"/>
          <a:chExt cx="1784120" cy="741997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09" name="Picture 308">
            <a:extLst>
              <a:ext uri="{FF2B5EF4-FFF2-40B4-BE49-F238E27FC236}">
                <a16:creationId xmlns:a16="http://schemas.microsoft.com/office/drawing/2014/main" id="{00000000-0008-0000-0100-00003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0" name="TextBox 309">
            <a:extLst>
              <a:ext uri="{FF2B5EF4-FFF2-40B4-BE49-F238E27FC236}">
                <a16:creationId xmlns:a16="http://schemas.microsoft.com/office/drawing/2014/main" id="{00000000-0008-0000-0100-000036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00000000-0008-0000-0100-000037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12" name="TextBox 311">
            <a:extLst>
              <a:ext uri="{FF2B5EF4-FFF2-40B4-BE49-F238E27FC236}">
                <a16:creationId xmlns:a16="http://schemas.microsoft.com/office/drawing/2014/main" id="{00000000-0008-0000-0100-000038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13" name="TextBox 312">
            <a:extLst>
              <a:ext uri="{FF2B5EF4-FFF2-40B4-BE49-F238E27FC236}">
                <a16:creationId xmlns:a16="http://schemas.microsoft.com/office/drawing/2014/main" id="{00000000-0008-0000-0100-000039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14" name="Picture 313">
            <a:extLst>
              <a:ext uri="{FF2B5EF4-FFF2-40B4-BE49-F238E27FC236}">
                <a16:creationId xmlns:a16="http://schemas.microsoft.com/office/drawing/2014/main" id="{00000000-0008-0000-0100-00003A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15" name="Text Box 44">
            <a:extLst>
              <a:ext uri="{FF2B5EF4-FFF2-40B4-BE49-F238E27FC236}">
                <a16:creationId xmlns:a16="http://schemas.microsoft.com/office/drawing/2014/main" id="{00000000-0008-0000-0100-00003B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22</xdr:col>
      <xdr:colOff>99060</xdr:colOff>
      <xdr:row>28</xdr:row>
      <xdr:rowOff>38100</xdr:rowOff>
    </xdr:from>
    <xdr:to>
      <xdr:col>23</xdr:col>
      <xdr:colOff>53340</xdr:colOff>
      <xdr:row>28</xdr:row>
      <xdr:rowOff>640081</xdr:rowOff>
    </xdr:to>
    <xdr:grpSp>
      <xdr:nvGrpSpPr>
        <xdr:cNvPr id="316" name="107A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pSpPr/>
      </xdr:nvGrpSpPr>
      <xdr:grpSpPr>
        <a:xfrm>
          <a:off x="9173787" y="13932230"/>
          <a:ext cx="1577241" cy="601981"/>
          <a:chOff x="5609358" y="12365182"/>
          <a:chExt cx="1784120" cy="741997"/>
        </a:xfrm>
      </xdr:grpSpPr>
      <xdr:pic>
        <xdr:nvPicPr>
          <xdr:cNvPr id="317" name="Picture 316">
            <a:extLst>
              <a:ext uri="{FF2B5EF4-FFF2-40B4-BE49-F238E27FC236}">
                <a16:creationId xmlns:a16="http://schemas.microsoft.com/office/drawing/2014/main" id="{00000000-0008-0000-0100-00003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18" name="Picture 317">
            <a:extLst>
              <a:ext uri="{FF2B5EF4-FFF2-40B4-BE49-F238E27FC236}">
                <a16:creationId xmlns:a16="http://schemas.microsoft.com/office/drawing/2014/main" id="{00000000-0008-0000-0100-00003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9" name="TextBox 318">
            <a:extLst>
              <a:ext uri="{FF2B5EF4-FFF2-40B4-BE49-F238E27FC236}">
                <a16:creationId xmlns:a16="http://schemas.microsoft.com/office/drawing/2014/main" id="{00000000-0008-0000-0100-00003F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20" name="TextBox 319">
            <a:extLst>
              <a:ext uri="{FF2B5EF4-FFF2-40B4-BE49-F238E27FC236}">
                <a16:creationId xmlns:a16="http://schemas.microsoft.com/office/drawing/2014/main" id="{00000000-0008-0000-0100-000040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21" name="TextBox 320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23" name="Picture 322">
            <a:extLst>
              <a:ext uri="{FF2B5EF4-FFF2-40B4-BE49-F238E27FC236}">
                <a16:creationId xmlns:a16="http://schemas.microsoft.com/office/drawing/2014/main" id="{00000000-0008-0000-0100-000043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24" name="Text Box 44">
            <a:extLst>
              <a:ext uri="{FF2B5EF4-FFF2-40B4-BE49-F238E27FC236}">
                <a16:creationId xmlns:a16="http://schemas.microsoft.com/office/drawing/2014/main" id="{00000000-0008-0000-0100-000044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7" name="Picture 18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8" name="Picture 19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0" name="Picture 18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1" name="Picture 19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4" name="Picture 18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5" name="Picture 19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8" name="Picture 18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9" name="Picture 19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2" name="Picture 18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3" name="Picture 19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6" name="Picture 18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7" name="Picture 19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0" name="Picture 18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1" name="Picture 19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4" name="Picture 18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5" name="Picture 19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8" name="Picture 18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9" name="Picture 19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2" name="Picture 18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3" name="Picture 19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6" name="Picture 18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7" name="Picture 19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0" name="Picture 18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1" name="Picture 19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4" name="Picture 18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5" name="Picture 19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8" name="Picture 18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9" name="Picture 19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2" name="Picture 18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3" name="Picture 19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6" name="Picture 18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7" name="Picture 19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0" name="Picture 18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1" name="Picture 19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4" name="Picture 18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5" name="Picture 19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8" name="Picture 18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9" name="Picture 19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2" name="Picture 18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3" name="Picture 19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6" name="Picture 18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7" name="Picture 19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0" name="Picture 18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1" name="Picture 19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4" name="Picture 18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5" name="Picture 19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8" name="Picture 18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9" name="Picture 19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2" name="Picture 18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3" name="Picture 19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0" name="Picture 18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1" name="Picture 19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4" name="Picture 18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5" name="Picture 19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8" name="Picture 18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9" name="Picture 19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2" name="Picture 18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3" name="Picture 19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6" name="Picture 18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7" name="Picture 19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0" name="Picture 18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1" name="Picture 19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69" name="Picture 1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70" name="Picture 1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18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4" name="Picture 19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5" name="Picture 18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6" name="Picture 19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89" name="Picture 1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0" name="Picture 19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3" name="Picture 18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4" name="Picture 19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7" name="Picture 18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8" name="Picture 19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240031</xdr:colOff>
      <xdr:row>29</xdr:row>
      <xdr:rowOff>72025</xdr:rowOff>
    </xdr:from>
    <xdr:to>
      <xdr:col>22</xdr:col>
      <xdr:colOff>1383030</xdr:colOff>
      <xdr:row>29</xdr:row>
      <xdr:rowOff>674734</xdr:rowOff>
    </xdr:to>
    <xdr:grpSp>
      <xdr:nvGrpSpPr>
        <xdr:cNvPr id="499" name="41FA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GrpSpPr/>
      </xdr:nvGrpSpPr>
      <xdr:grpSpPr>
        <a:xfrm>
          <a:off x="9314758" y="14708363"/>
          <a:ext cx="1142999" cy="602709"/>
          <a:chOff x="1159710" y="4017210"/>
          <a:chExt cx="1142999" cy="583381"/>
        </a:xfrm>
      </xdr:grpSpPr>
      <xdr:pic>
        <xdr:nvPicPr>
          <xdr:cNvPr id="500" name="Picture 499">
            <a:extLst>
              <a:ext uri="{FF2B5EF4-FFF2-40B4-BE49-F238E27FC236}">
                <a16:creationId xmlns:a16="http://schemas.microsoft.com/office/drawing/2014/main" id="{00000000-0008-0000-0100-0000F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01" name="TextBox 500">
            <a:extLst>
              <a:ext uri="{FF2B5EF4-FFF2-40B4-BE49-F238E27FC236}">
                <a16:creationId xmlns:a16="http://schemas.microsoft.com/office/drawing/2014/main" id="{00000000-0008-0000-0100-0000F501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212</a:t>
            </a:r>
          </a:p>
        </xdr:txBody>
      </xdr:sp>
      <xdr:sp macro="" textlink="">
        <xdr:nvSpPr>
          <xdr:cNvPr id="502" name="TextBox 501">
            <a:extLst>
              <a:ext uri="{FF2B5EF4-FFF2-40B4-BE49-F238E27FC236}">
                <a16:creationId xmlns:a16="http://schemas.microsoft.com/office/drawing/2014/main" id="{00000000-0008-0000-0100-0000F601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1800</a:t>
            </a:r>
            <a:endParaRPr lang="en-IN" sz="900"/>
          </a:p>
        </xdr:txBody>
      </xdr:sp>
      <xdr:sp macro="" textlink="">
        <xdr:nvSpPr>
          <xdr:cNvPr id="503" name="TextBox 502">
            <a:extLst>
              <a:ext uri="{FF2B5EF4-FFF2-40B4-BE49-F238E27FC236}">
                <a16:creationId xmlns:a16="http://schemas.microsoft.com/office/drawing/2014/main" id="{00000000-0008-0000-0100-0000F701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650</a:t>
            </a:r>
            <a:endParaRPr lang="en-IN" sz="900"/>
          </a:p>
        </xdr:txBody>
      </xdr:sp>
    </xdr:grpSp>
    <xdr:clientData/>
  </xdr:twoCellAnchor>
  <xdr:twoCellAnchor>
    <xdr:from>
      <xdr:col>22</xdr:col>
      <xdr:colOff>63914</xdr:colOff>
      <xdr:row>30</xdr:row>
      <xdr:rowOff>13248</xdr:rowOff>
    </xdr:from>
    <xdr:to>
      <xdr:col>22</xdr:col>
      <xdr:colOff>1559146</xdr:colOff>
      <xdr:row>30</xdr:row>
      <xdr:rowOff>501653</xdr:rowOff>
    </xdr:to>
    <xdr:grpSp>
      <xdr:nvGrpSpPr>
        <xdr:cNvPr id="504" name="11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GrpSpPr/>
      </xdr:nvGrpSpPr>
      <xdr:grpSpPr>
        <a:xfrm>
          <a:off x="9138641" y="15391793"/>
          <a:ext cx="1495232" cy="488405"/>
          <a:chOff x="1106460" y="361462"/>
          <a:chExt cx="1499899" cy="511571"/>
        </a:xfrm>
      </xdr:grpSpPr>
      <xdr:pic>
        <xdr:nvPicPr>
          <xdr:cNvPr id="505" name="Picture 504">
            <a:extLst>
              <a:ext uri="{FF2B5EF4-FFF2-40B4-BE49-F238E27FC236}">
                <a16:creationId xmlns:a16="http://schemas.microsoft.com/office/drawing/2014/main" id="{00000000-0008-0000-0100-0000F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100-0000FA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100-0000FB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  <xdr:twoCellAnchor>
    <xdr:from>
      <xdr:col>21</xdr:col>
      <xdr:colOff>124874</xdr:colOff>
      <xdr:row>31</xdr:row>
      <xdr:rowOff>51349</xdr:rowOff>
    </xdr:from>
    <xdr:to>
      <xdr:col>22</xdr:col>
      <xdr:colOff>1482946</xdr:colOff>
      <xdr:row>32</xdr:row>
      <xdr:rowOff>36834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GrpSpPr/>
      </xdr:nvGrpSpPr>
      <xdr:grpSpPr>
        <a:xfrm>
          <a:off x="9061056" y="15944492"/>
          <a:ext cx="1496617" cy="500082"/>
          <a:chOff x="1106460" y="361462"/>
          <a:chExt cx="1499899" cy="511571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1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100-0000FE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100-0000FF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70</xdr:row>
          <xdr:rowOff>0</xdr:rowOff>
        </xdr:from>
        <xdr:to>
          <xdr:col>6</xdr:col>
          <xdr:colOff>556260</xdr:colOff>
          <xdr:row>76</xdr:row>
          <xdr:rowOff>175260</xdr:rowOff>
        </xdr:to>
        <xdr:sp macro="" textlink="">
          <xdr:nvSpPr>
            <xdr:cNvPr id="10241" name="MacroDisabledInformati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</xdr:row>
          <xdr:rowOff>0</xdr:rowOff>
        </xdr:from>
        <xdr:to>
          <xdr:col>0</xdr:col>
          <xdr:colOff>350520</xdr:colOff>
          <xdr:row>1</xdr:row>
          <xdr:rowOff>22860</xdr:rowOff>
        </xdr:to>
        <xdr:sp macro="" textlink="">
          <xdr:nvSpPr>
            <xdr:cNvPr id="10242" name="PrintOptionLabel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1</xdr:row>
          <xdr:rowOff>0</xdr:rowOff>
        </xdr:from>
        <xdr:to>
          <xdr:col>6</xdr:col>
          <xdr:colOff>190500</xdr:colOff>
          <xdr:row>1</xdr:row>
          <xdr:rowOff>22860</xdr:rowOff>
        </xdr:to>
        <xdr:sp macro="" textlink="">
          <xdr:nvSpPr>
            <xdr:cNvPr id="10243" name="BBSProgram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1</xdr:row>
          <xdr:rowOff>0</xdr:rowOff>
        </xdr:from>
        <xdr:to>
          <xdr:col>6</xdr:col>
          <xdr:colOff>342900</xdr:colOff>
          <xdr:row>1</xdr:row>
          <xdr:rowOff>22860</xdr:rowOff>
        </xdr:to>
        <xdr:sp macro="" textlink="">
          <xdr:nvSpPr>
            <xdr:cNvPr id="10244" name="ProgramFileFullNam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1</xdr:row>
          <xdr:rowOff>0</xdr:rowOff>
        </xdr:from>
        <xdr:to>
          <xdr:col>6</xdr:col>
          <xdr:colOff>495300</xdr:colOff>
          <xdr:row>1</xdr:row>
          <xdr:rowOff>22860</xdr:rowOff>
        </xdr:to>
        <xdr:sp macro="" textlink="">
          <xdr:nvSpPr>
            <xdr:cNvPr id="10245" name="AutomaticallyOpenProgramFile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2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</xdr:row>
          <xdr:rowOff>0</xdr:rowOff>
        </xdr:from>
        <xdr:to>
          <xdr:col>0</xdr:col>
          <xdr:colOff>99060</xdr:colOff>
          <xdr:row>1</xdr:row>
          <xdr:rowOff>22860</xdr:rowOff>
        </xdr:to>
        <xdr:sp macro="" textlink="">
          <xdr:nvSpPr>
            <xdr:cNvPr id="10246" name="CodeColumn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7620</xdr:colOff>
          <xdr:row>1</xdr:row>
          <xdr:rowOff>22860</xdr:rowOff>
        </xdr:to>
        <xdr:sp macro="" textlink="">
          <xdr:nvSpPr>
            <xdr:cNvPr id="10247" name="LastRowOfSummary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</xdr:row>
          <xdr:rowOff>0</xdr:rowOff>
        </xdr:from>
        <xdr:to>
          <xdr:col>29</xdr:col>
          <xdr:colOff>1043940</xdr:colOff>
          <xdr:row>1</xdr:row>
          <xdr:rowOff>342900</xdr:rowOff>
        </xdr:to>
        <xdr:sp macro="" textlink="">
          <xdr:nvSpPr>
            <xdr:cNvPr id="10248" name="PrintOptionInformer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640080</xdr:colOff>
          <xdr:row>70</xdr:row>
          <xdr:rowOff>0</xdr:rowOff>
        </xdr:from>
        <xdr:to>
          <xdr:col>6</xdr:col>
          <xdr:colOff>647700</xdr:colOff>
          <xdr:row>70</xdr:row>
          <xdr:rowOff>7620</xdr:rowOff>
        </xdr:to>
        <xdr:sp macro="" textlink="">
          <xdr:nvSpPr>
            <xdr:cNvPr id="10249" name="Capitalizatio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0</xdr:rowOff>
        </xdr:from>
        <xdr:to>
          <xdr:col>0</xdr:col>
          <xdr:colOff>160020</xdr:colOff>
          <xdr:row>1</xdr:row>
          <xdr:rowOff>22860</xdr:rowOff>
        </xdr:to>
        <xdr:sp macro="" textlink="">
          <xdr:nvSpPr>
            <xdr:cNvPr id="10250" name="Registered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314610</xdr:colOff>
      <xdr:row>6</xdr:row>
      <xdr:rowOff>221762</xdr:rowOff>
    </xdr:from>
    <xdr:to>
      <xdr:col>22</xdr:col>
      <xdr:colOff>1796129</xdr:colOff>
      <xdr:row>6</xdr:row>
      <xdr:rowOff>540238</xdr:rowOff>
    </xdr:to>
    <xdr:grpSp>
      <xdr:nvGrpSpPr>
        <xdr:cNvPr id="929" name="0_7">
          <a:extLst>
            <a:ext uri="{FF2B5EF4-FFF2-40B4-BE49-F238E27FC236}">
              <a16:creationId xmlns:a16="http://schemas.microsoft.com/office/drawing/2014/main" id="{00000000-0008-0000-0200-0000A1030000}"/>
            </a:ext>
          </a:extLst>
        </xdr:cNvPr>
        <xdr:cNvGrpSpPr/>
      </xdr:nvGrpSpPr>
      <xdr:grpSpPr>
        <a:xfrm>
          <a:off x="16045899" y="2016473"/>
          <a:ext cx="1481519" cy="318476"/>
          <a:chOff x="1172308" y="1488831"/>
          <a:chExt cx="1505160" cy="318476"/>
        </a:xfrm>
      </xdr:grpSpPr>
      <xdr:pic>
        <xdr:nvPicPr>
          <xdr:cNvPr id="930" name="StraightBar">
            <a:extLst>
              <a:ext uri="{FF2B5EF4-FFF2-40B4-BE49-F238E27FC236}">
                <a16:creationId xmlns:a16="http://schemas.microsoft.com/office/drawing/2014/main" id="{00000000-0008-0000-0200-0000A2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31" name="TextBox 930">
            <a:extLst>
              <a:ext uri="{FF2B5EF4-FFF2-40B4-BE49-F238E27FC236}">
                <a16:creationId xmlns:a16="http://schemas.microsoft.com/office/drawing/2014/main" id="{00000000-0008-0000-0200-0000A3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11400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7</xdr:row>
      <xdr:rowOff>221762</xdr:rowOff>
    </xdr:from>
    <xdr:to>
      <xdr:col>22</xdr:col>
      <xdr:colOff>1796129</xdr:colOff>
      <xdr:row>7</xdr:row>
      <xdr:rowOff>540238</xdr:rowOff>
    </xdr:to>
    <xdr:grpSp>
      <xdr:nvGrpSpPr>
        <xdr:cNvPr id="932" name="0_8">
          <a:extLst>
            <a:ext uri="{FF2B5EF4-FFF2-40B4-BE49-F238E27FC236}">
              <a16:creationId xmlns:a16="http://schemas.microsoft.com/office/drawing/2014/main" id="{00000000-0008-0000-0200-0000A4030000}"/>
            </a:ext>
          </a:extLst>
        </xdr:cNvPr>
        <xdr:cNvGrpSpPr/>
      </xdr:nvGrpSpPr>
      <xdr:grpSpPr>
        <a:xfrm>
          <a:off x="16045899" y="2778473"/>
          <a:ext cx="1481519" cy="318476"/>
          <a:chOff x="1172308" y="1488831"/>
          <a:chExt cx="1505160" cy="318476"/>
        </a:xfrm>
      </xdr:grpSpPr>
      <xdr:pic>
        <xdr:nvPicPr>
          <xdr:cNvPr id="933" name="StraightBar">
            <a:extLst>
              <a:ext uri="{FF2B5EF4-FFF2-40B4-BE49-F238E27FC236}">
                <a16:creationId xmlns:a16="http://schemas.microsoft.com/office/drawing/2014/main" id="{00000000-0008-0000-0200-0000A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75" name="TextBox 974">
            <a:extLst>
              <a:ext uri="{FF2B5EF4-FFF2-40B4-BE49-F238E27FC236}">
                <a16:creationId xmlns:a16="http://schemas.microsoft.com/office/drawing/2014/main" id="{00000000-0008-0000-0200-0000CF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4950</a:t>
            </a:r>
          </a:p>
        </xdr:txBody>
      </xdr:sp>
    </xdr:grpSp>
    <xdr:clientData/>
  </xdr:twoCellAnchor>
  <xdr:twoCellAnchor editAs="oneCell">
    <xdr:from>
      <xdr:col>22</xdr:col>
      <xdr:colOff>304174</xdr:colOff>
      <xdr:row>8</xdr:row>
      <xdr:rowOff>139989</xdr:rowOff>
    </xdr:from>
    <xdr:to>
      <xdr:col>22</xdr:col>
      <xdr:colOff>1806567</xdr:colOff>
      <xdr:row>8</xdr:row>
      <xdr:rowOff>631023</xdr:rowOff>
    </xdr:to>
    <xdr:grpSp>
      <xdr:nvGrpSpPr>
        <xdr:cNvPr id="980" name="11_9">
          <a:extLst>
            <a:ext uri="{FF2B5EF4-FFF2-40B4-BE49-F238E27FC236}">
              <a16:creationId xmlns:a16="http://schemas.microsoft.com/office/drawing/2014/main" id="{00000000-0008-0000-0200-0000D4030000}"/>
            </a:ext>
          </a:extLst>
        </xdr:cNvPr>
        <xdr:cNvGrpSpPr/>
      </xdr:nvGrpSpPr>
      <xdr:grpSpPr>
        <a:xfrm>
          <a:off x="16035463" y="3458700"/>
          <a:ext cx="1502393" cy="491034"/>
          <a:chOff x="1106460" y="361462"/>
          <a:chExt cx="1499899" cy="508350"/>
        </a:xfrm>
      </xdr:grpSpPr>
      <xdr:pic>
        <xdr:nvPicPr>
          <xdr:cNvPr id="981" name="Picture 980">
            <a:extLst>
              <a:ext uri="{FF2B5EF4-FFF2-40B4-BE49-F238E27FC236}">
                <a16:creationId xmlns:a16="http://schemas.microsoft.com/office/drawing/2014/main" id="{00000000-0008-0000-0200-0000D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82" name="TextBox 981">
            <a:extLst>
              <a:ext uri="{FF2B5EF4-FFF2-40B4-BE49-F238E27FC236}">
                <a16:creationId xmlns:a16="http://schemas.microsoft.com/office/drawing/2014/main" id="{00000000-0008-0000-0200-0000D603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688</a:t>
            </a:r>
          </a:p>
        </xdr:txBody>
      </xdr:sp>
      <xdr:sp macro="" textlink="">
        <xdr:nvSpPr>
          <xdr:cNvPr id="983" name="TextBox 982">
            <a:extLst>
              <a:ext uri="{FF2B5EF4-FFF2-40B4-BE49-F238E27FC236}">
                <a16:creationId xmlns:a16="http://schemas.microsoft.com/office/drawing/2014/main" id="{00000000-0008-0000-0200-0000D703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9</xdr:row>
      <xdr:rowOff>221762</xdr:rowOff>
    </xdr:from>
    <xdr:to>
      <xdr:col>22</xdr:col>
      <xdr:colOff>1796129</xdr:colOff>
      <xdr:row>9</xdr:row>
      <xdr:rowOff>540238</xdr:rowOff>
    </xdr:to>
    <xdr:grpSp>
      <xdr:nvGrpSpPr>
        <xdr:cNvPr id="984" name="0_10">
          <a:extLst>
            <a:ext uri="{FF2B5EF4-FFF2-40B4-BE49-F238E27FC236}">
              <a16:creationId xmlns:a16="http://schemas.microsoft.com/office/drawing/2014/main" id="{00000000-0008-0000-0200-0000D8030000}"/>
            </a:ext>
          </a:extLst>
        </xdr:cNvPr>
        <xdr:cNvGrpSpPr/>
      </xdr:nvGrpSpPr>
      <xdr:grpSpPr>
        <a:xfrm>
          <a:off x="16045899" y="4302473"/>
          <a:ext cx="1481519" cy="318476"/>
          <a:chOff x="1172308" y="1488831"/>
          <a:chExt cx="1505160" cy="318476"/>
        </a:xfrm>
      </xdr:grpSpPr>
      <xdr:pic>
        <xdr:nvPicPr>
          <xdr:cNvPr id="985" name="StraightBar">
            <a:extLst>
              <a:ext uri="{FF2B5EF4-FFF2-40B4-BE49-F238E27FC236}">
                <a16:creationId xmlns:a16="http://schemas.microsoft.com/office/drawing/2014/main" id="{00000000-0008-0000-0200-0000D9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86" name="TextBox 985">
            <a:extLst>
              <a:ext uri="{FF2B5EF4-FFF2-40B4-BE49-F238E27FC236}">
                <a16:creationId xmlns:a16="http://schemas.microsoft.com/office/drawing/2014/main" id="{00000000-0008-0000-0200-0000DA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5050</a:t>
            </a:r>
          </a:p>
        </xdr:txBody>
      </xdr:sp>
    </xdr:grpSp>
    <xdr:clientData/>
  </xdr:twoCellAnchor>
  <xdr:twoCellAnchor editAs="oneCell">
    <xdr:from>
      <xdr:col>22</xdr:col>
      <xdr:colOff>169580</xdr:colOff>
      <xdr:row>10</xdr:row>
      <xdr:rowOff>47421</xdr:rowOff>
    </xdr:from>
    <xdr:to>
      <xdr:col>22</xdr:col>
      <xdr:colOff>1941158</xdr:colOff>
      <xdr:row>10</xdr:row>
      <xdr:rowOff>714580</xdr:rowOff>
    </xdr:to>
    <xdr:grpSp>
      <xdr:nvGrpSpPr>
        <xdr:cNvPr id="987" name="38D_11">
          <a:extLst>
            <a:ext uri="{FF2B5EF4-FFF2-40B4-BE49-F238E27FC236}">
              <a16:creationId xmlns:a16="http://schemas.microsoft.com/office/drawing/2014/main" id="{00000000-0008-0000-0200-0000DB030000}"/>
            </a:ext>
          </a:extLst>
        </xdr:cNvPr>
        <xdr:cNvGrpSpPr/>
      </xdr:nvGrpSpPr>
      <xdr:grpSpPr>
        <a:xfrm>
          <a:off x="15900869" y="4890132"/>
          <a:ext cx="1771578" cy="667159"/>
          <a:chOff x="1035270" y="15565821"/>
          <a:chExt cx="1720460" cy="934182"/>
        </a:xfrm>
      </xdr:grpSpPr>
      <xdr:pic>
        <xdr:nvPicPr>
          <xdr:cNvPr id="988" name="Picture 987">
            <a:extLst>
              <a:ext uri="{FF2B5EF4-FFF2-40B4-BE49-F238E27FC236}">
                <a16:creationId xmlns:a16="http://schemas.microsoft.com/office/drawing/2014/main" id="{00000000-0008-0000-0200-0000DC03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89" name="TextBox 988">
            <a:extLst>
              <a:ext uri="{FF2B5EF4-FFF2-40B4-BE49-F238E27FC236}">
                <a16:creationId xmlns:a16="http://schemas.microsoft.com/office/drawing/2014/main" id="{00000000-0008-0000-0200-0000DD03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990" name="TextBox 989">
            <a:extLst>
              <a:ext uri="{FF2B5EF4-FFF2-40B4-BE49-F238E27FC236}">
                <a16:creationId xmlns:a16="http://schemas.microsoft.com/office/drawing/2014/main" id="{00000000-0008-0000-0200-0000DE03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991" name="TextBox 990">
            <a:extLst>
              <a:ext uri="{FF2B5EF4-FFF2-40B4-BE49-F238E27FC236}">
                <a16:creationId xmlns:a16="http://schemas.microsoft.com/office/drawing/2014/main" id="{00000000-0008-0000-0200-0000DF03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8950</a:t>
            </a:r>
            <a:endParaRPr lang="en-IN" sz="700"/>
          </a:p>
        </xdr:txBody>
      </xdr:sp>
    </xdr:grpSp>
    <xdr:clientData/>
  </xdr:twoCellAnchor>
  <xdr:twoCellAnchor editAs="oneCell">
    <xdr:from>
      <xdr:col>22</xdr:col>
      <xdr:colOff>314610</xdr:colOff>
      <xdr:row>11</xdr:row>
      <xdr:rowOff>221762</xdr:rowOff>
    </xdr:from>
    <xdr:to>
      <xdr:col>22</xdr:col>
      <xdr:colOff>1796129</xdr:colOff>
      <xdr:row>11</xdr:row>
      <xdr:rowOff>540238</xdr:rowOff>
    </xdr:to>
    <xdr:grpSp>
      <xdr:nvGrpSpPr>
        <xdr:cNvPr id="992" name="0_12">
          <a:extLst>
            <a:ext uri="{FF2B5EF4-FFF2-40B4-BE49-F238E27FC236}">
              <a16:creationId xmlns:a16="http://schemas.microsoft.com/office/drawing/2014/main" id="{00000000-0008-0000-0200-0000E0030000}"/>
            </a:ext>
          </a:extLst>
        </xdr:cNvPr>
        <xdr:cNvGrpSpPr/>
      </xdr:nvGrpSpPr>
      <xdr:grpSpPr>
        <a:xfrm>
          <a:off x="16045899" y="5826473"/>
          <a:ext cx="1481519" cy="318476"/>
          <a:chOff x="1172308" y="1488831"/>
          <a:chExt cx="1505160" cy="318476"/>
        </a:xfrm>
      </xdr:grpSpPr>
      <xdr:pic>
        <xdr:nvPicPr>
          <xdr:cNvPr id="993" name="StraightBar">
            <a:extLst>
              <a:ext uri="{FF2B5EF4-FFF2-40B4-BE49-F238E27FC236}">
                <a16:creationId xmlns:a16="http://schemas.microsoft.com/office/drawing/2014/main" id="{00000000-0008-0000-0200-0000E1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94" name="TextBox 993">
            <a:extLst>
              <a:ext uri="{FF2B5EF4-FFF2-40B4-BE49-F238E27FC236}">
                <a16:creationId xmlns:a16="http://schemas.microsoft.com/office/drawing/2014/main" id="{00000000-0008-0000-0200-0000E2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3700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12</xdr:row>
      <xdr:rowOff>221762</xdr:rowOff>
    </xdr:from>
    <xdr:to>
      <xdr:col>22</xdr:col>
      <xdr:colOff>1796129</xdr:colOff>
      <xdr:row>12</xdr:row>
      <xdr:rowOff>540238</xdr:rowOff>
    </xdr:to>
    <xdr:grpSp>
      <xdr:nvGrpSpPr>
        <xdr:cNvPr id="995" name="0_13">
          <a:extLst>
            <a:ext uri="{FF2B5EF4-FFF2-40B4-BE49-F238E27FC236}">
              <a16:creationId xmlns:a16="http://schemas.microsoft.com/office/drawing/2014/main" id="{00000000-0008-0000-0200-0000E3030000}"/>
            </a:ext>
          </a:extLst>
        </xdr:cNvPr>
        <xdr:cNvGrpSpPr/>
      </xdr:nvGrpSpPr>
      <xdr:grpSpPr>
        <a:xfrm>
          <a:off x="16045899" y="6588473"/>
          <a:ext cx="1481519" cy="318476"/>
          <a:chOff x="1172308" y="1488831"/>
          <a:chExt cx="1505160" cy="318476"/>
        </a:xfrm>
      </xdr:grpSpPr>
      <xdr:pic>
        <xdr:nvPicPr>
          <xdr:cNvPr id="996" name="StraightBar">
            <a:extLst>
              <a:ext uri="{FF2B5EF4-FFF2-40B4-BE49-F238E27FC236}">
                <a16:creationId xmlns:a16="http://schemas.microsoft.com/office/drawing/2014/main" id="{00000000-0008-0000-0200-0000E4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97" name="TextBox 996">
            <a:extLst>
              <a:ext uri="{FF2B5EF4-FFF2-40B4-BE49-F238E27FC236}">
                <a16:creationId xmlns:a16="http://schemas.microsoft.com/office/drawing/2014/main" id="{00000000-0008-0000-0200-0000E5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3700</a:t>
            </a:r>
          </a:p>
        </xdr:txBody>
      </xdr:sp>
    </xdr:grpSp>
    <xdr:clientData/>
  </xdr:twoCellAnchor>
  <xdr:twoCellAnchor editAs="oneCell">
    <xdr:from>
      <xdr:col>22</xdr:col>
      <xdr:colOff>169580</xdr:colOff>
      <xdr:row>13</xdr:row>
      <xdr:rowOff>47421</xdr:rowOff>
    </xdr:from>
    <xdr:to>
      <xdr:col>22</xdr:col>
      <xdr:colOff>1941158</xdr:colOff>
      <xdr:row>13</xdr:row>
      <xdr:rowOff>714580</xdr:rowOff>
    </xdr:to>
    <xdr:grpSp>
      <xdr:nvGrpSpPr>
        <xdr:cNvPr id="1001" name="38D_14">
          <a:extLst>
            <a:ext uri="{FF2B5EF4-FFF2-40B4-BE49-F238E27FC236}">
              <a16:creationId xmlns:a16="http://schemas.microsoft.com/office/drawing/2014/main" id="{00000000-0008-0000-0200-0000E9030000}"/>
            </a:ext>
          </a:extLst>
        </xdr:cNvPr>
        <xdr:cNvGrpSpPr/>
      </xdr:nvGrpSpPr>
      <xdr:grpSpPr>
        <a:xfrm>
          <a:off x="15900869" y="7176132"/>
          <a:ext cx="1771578" cy="667159"/>
          <a:chOff x="1035270" y="15565821"/>
          <a:chExt cx="1720460" cy="934182"/>
        </a:xfrm>
      </xdr:grpSpPr>
      <xdr:pic>
        <xdr:nvPicPr>
          <xdr:cNvPr id="1002" name="Picture 1001">
            <a:extLst>
              <a:ext uri="{FF2B5EF4-FFF2-40B4-BE49-F238E27FC236}">
                <a16:creationId xmlns:a16="http://schemas.microsoft.com/office/drawing/2014/main" id="{00000000-0008-0000-0200-0000EA03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03" name="TextBox 1002">
            <a:extLst>
              <a:ext uri="{FF2B5EF4-FFF2-40B4-BE49-F238E27FC236}">
                <a16:creationId xmlns:a16="http://schemas.microsoft.com/office/drawing/2014/main" id="{00000000-0008-0000-0200-0000EB03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1004" name="TextBox 1003">
            <a:extLst>
              <a:ext uri="{FF2B5EF4-FFF2-40B4-BE49-F238E27FC236}">
                <a16:creationId xmlns:a16="http://schemas.microsoft.com/office/drawing/2014/main" id="{00000000-0008-0000-0200-0000EC03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1005" name="TextBox 1004">
            <a:extLst>
              <a:ext uri="{FF2B5EF4-FFF2-40B4-BE49-F238E27FC236}">
                <a16:creationId xmlns:a16="http://schemas.microsoft.com/office/drawing/2014/main" id="{00000000-0008-0000-0200-0000ED03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10400</a:t>
            </a:r>
            <a:endParaRPr lang="en-IN" sz="700"/>
          </a:p>
        </xdr:txBody>
      </xdr:sp>
    </xdr:grpSp>
    <xdr:clientData/>
  </xdr:twoCellAnchor>
  <xdr:twoCellAnchor editAs="oneCell">
    <xdr:from>
      <xdr:col>22</xdr:col>
      <xdr:colOff>314610</xdr:colOff>
      <xdr:row>14</xdr:row>
      <xdr:rowOff>221762</xdr:rowOff>
    </xdr:from>
    <xdr:to>
      <xdr:col>22</xdr:col>
      <xdr:colOff>1796129</xdr:colOff>
      <xdr:row>14</xdr:row>
      <xdr:rowOff>540238</xdr:rowOff>
    </xdr:to>
    <xdr:grpSp>
      <xdr:nvGrpSpPr>
        <xdr:cNvPr id="1006" name="0_15">
          <a:extLst>
            <a:ext uri="{FF2B5EF4-FFF2-40B4-BE49-F238E27FC236}">
              <a16:creationId xmlns:a16="http://schemas.microsoft.com/office/drawing/2014/main" id="{00000000-0008-0000-0200-0000EE030000}"/>
            </a:ext>
          </a:extLst>
        </xdr:cNvPr>
        <xdr:cNvGrpSpPr/>
      </xdr:nvGrpSpPr>
      <xdr:grpSpPr>
        <a:xfrm>
          <a:off x="16045899" y="8112473"/>
          <a:ext cx="1481519" cy="318476"/>
          <a:chOff x="1172308" y="1488831"/>
          <a:chExt cx="1505160" cy="318476"/>
        </a:xfrm>
      </xdr:grpSpPr>
      <xdr:pic>
        <xdr:nvPicPr>
          <xdr:cNvPr id="1022" name="StraightBar">
            <a:extLst>
              <a:ext uri="{FF2B5EF4-FFF2-40B4-BE49-F238E27FC236}">
                <a16:creationId xmlns:a16="http://schemas.microsoft.com/office/drawing/2014/main" id="{00000000-0008-0000-0200-0000FE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23" name="TextBox 1022">
            <a:extLst>
              <a:ext uri="{FF2B5EF4-FFF2-40B4-BE49-F238E27FC236}">
                <a16:creationId xmlns:a16="http://schemas.microsoft.com/office/drawing/2014/main" id="{00000000-0008-0000-0200-0000FF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4650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15</xdr:row>
      <xdr:rowOff>221762</xdr:rowOff>
    </xdr:from>
    <xdr:to>
      <xdr:col>22</xdr:col>
      <xdr:colOff>1796129</xdr:colOff>
      <xdr:row>15</xdr:row>
      <xdr:rowOff>540238</xdr:rowOff>
    </xdr:to>
    <xdr:grpSp>
      <xdr:nvGrpSpPr>
        <xdr:cNvPr id="1024" name="0_16">
          <a:extLst>
            <a:ext uri="{FF2B5EF4-FFF2-40B4-BE49-F238E27FC236}">
              <a16:creationId xmlns:a16="http://schemas.microsoft.com/office/drawing/2014/main" id="{00000000-0008-0000-0200-000000040000}"/>
            </a:ext>
          </a:extLst>
        </xdr:cNvPr>
        <xdr:cNvGrpSpPr/>
      </xdr:nvGrpSpPr>
      <xdr:grpSpPr>
        <a:xfrm>
          <a:off x="16045899" y="8874473"/>
          <a:ext cx="1481519" cy="318476"/>
          <a:chOff x="1172308" y="1488831"/>
          <a:chExt cx="1505160" cy="318476"/>
        </a:xfrm>
      </xdr:grpSpPr>
      <xdr:pic>
        <xdr:nvPicPr>
          <xdr:cNvPr id="1025" name="StraightBar">
            <a:extLst>
              <a:ext uri="{FF2B5EF4-FFF2-40B4-BE49-F238E27FC236}">
                <a16:creationId xmlns:a16="http://schemas.microsoft.com/office/drawing/2014/main" id="{00000000-0008-0000-0200-000001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26" name="TextBox 1025">
            <a:extLst>
              <a:ext uri="{FF2B5EF4-FFF2-40B4-BE49-F238E27FC236}">
                <a16:creationId xmlns:a16="http://schemas.microsoft.com/office/drawing/2014/main" id="{00000000-0008-0000-0200-00000204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3950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16</xdr:row>
      <xdr:rowOff>221762</xdr:rowOff>
    </xdr:from>
    <xdr:to>
      <xdr:col>22</xdr:col>
      <xdr:colOff>1796129</xdr:colOff>
      <xdr:row>16</xdr:row>
      <xdr:rowOff>540238</xdr:rowOff>
    </xdr:to>
    <xdr:grpSp>
      <xdr:nvGrpSpPr>
        <xdr:cNvPr id="47" name="0_17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16045899" y="9636473"/>
          <a:ext cx="1481519" cy="318476"/>
          <a:chOff x="1172308" y="1488831"/>
          <a:chExt cx="1505160" cy="318476"/>
        </a:xfrm>
      </xdr:grpSpPr>
      <xdr:pic>
        <xdr:nvPicPr>
          <xdr:cNvPr id="48" name="StraightBar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17</xdr:row>
      <xdr:rowOff>221762</xdr:rowOff>
    </xdr:from>
    <xdr:to>
      <xdr:col>22</xdr:col>
      <xdr:colOff>1796129</xdr:colOff>
      <xdr:row>17</xdr:row>
      <xdr:rowOff>540238</xdr:rowOff>
    </xdr:to>
    <xdr:grpSp>
      <xdr:nvGrpSpPr>
        <xdr:cNvPr id="50" name="0_18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pSpPr/>
      </xdr:nvGrpSpPr>
      <xdr:grpSpPr>
        <a:xfrm>
          <a:off x="16045899" y="10398473"/>
          <a:ext cx="1481519" cy="318476"/>
          <a:chOff x="1172308" y="1488831"/>
          <a:chExt cx="1505160" cy="318476"/>
        </a:xfrm>
      </xdr:grpSpPr>
      <xdr:pic>
        <xdr:nvPicPr>
          <xdr:cNvPr id="51" name="StraightBar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2450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18</xdr:row>
      <xdr:rowOff>221762</xdr:rowOff>
    </xdr:from>
    <xdr:to>
      <xdr:col>22</xdr:col>
      <xdr:colOff>1796129</xdr:colOff>
      <xdr:row>18</xdr:row>
      <xdr:rowOff>540238</xdr:rowOff>
    </xdr:to>
    <xdr:grpSp>
      <xdr:nvGrpSpPr>
        <xdr:cNvPr id="53" name="0_19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16045899" y="11160473"/>
          <a:ext cx="1481519" cy="318476"/>
          <a:chOff x="1172308" y="1488831"/>
          <a:chExt cx="1505160" cy="318476"/>
        </a:xfrm>
      </xdr:grpSpPr>
      <xdr:pic>
        <xdr:nvPicPr>
          <xdr:cNvPr id="54" name="StraightBar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twoCellAnchor>
  <xdr:oneCellAnchor>
    <xdr:from>
      <xdr:col>22</xdr:col>
      <xdr:colOff>314610</xdr:colOff>
      <xdr:row>19</xdr:row>
      <xdr:rowOff>221762</xdr:rowOff>
    </xdr:from>
    <xdr:ext cx="1481519" cy="318476"/>
    <xdr:grpSp>
      <xdr:nvGrpSpPr>
        <xdr:cNvPr id="56" name="0_19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16045899" y="11922473"/>
          <a:ext cx="1481519" cy="318476"/>
          <a:chOff x="1172308" y="1488831"/>
          <a:chExt cx="1505160" cy="318476"/>
        </a:xfrm>
      </xdr:grpSpPr>
      <xdr:pic>
        <xdr:nvPicPr>
          <xdr:cNvPr id="57" name="StraightBar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oneCellAnchor>
  <xdr:twoCellAnchor editAs="oneCell">
    <xdr:from>
      <xdr:col>22</xdr:col>
      <xdr:colOff>322543</xdr:colOff>
      <xdr:row>21</xdr:row>
      <xdr:rowOff>39319</xdr:rowOff>
    </xdr:from>
    <xdr:to>
      <xdr:col>22</xdr:col>
      <xdr:colOff>1788196</xdr:colOff>
      <xdr:row>21</xdr:row>
      <xdr:rowOff>722682</xdr:rowOff>
    </xdr:to>
    <xdr:grpSp>
      <xdr:nvGrpSpPr>
        <xdr:cNvPr id="66" name="101_22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pSpPr/>
      </xdr:nvGrpSpPr>
      <xdr:grpSpPr>
        <a:xfrm>
          <a:off x="16053832" y="13264030"/>
          <a:ext cx="1465653" cy="683363"/>
          <a:chOff x="1372886" y="23216885"/>
          <a:chExt cx="1466232" cy="681562"/>
        </a:xfrm>
      </xdr:grpSpPr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2100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</xdr:grpSp>
    <xdr:clientData/>
  </xdr:twoCellAnchor>
  <xdr:twoCellAnchor editAs="oneCell">
    <xdr:from>
      <xdr:col>22</xdr:col>
      <xdr:colOff>322543</xdr:colOff>
      <xdr:row>20</xdr:row>
      <xdr:rowOff>39319</xdr:rowOff>
    </xdr:from>
    <xdr:to>
      <xdr:col>22</xdr:col>
      <xdr:colOff>1788196</xdr:colOff>
      <xdr:row>20</xdr:row>
      <xdr:rowOff>722682</xdr:rowOff>
    </xdr:to>
    <xdr:grpSp>
      <xdr:nvGrpSpPr>
        <xdr:cNvPr id="80" name="101_21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6053832" y="12502030"/>
          <a:ext cx="1465653" cy="683363"/>
          <a:chOff x="1372886" y="23216885"/>
          <a:chExt cx="1466232" cy="681562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7100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</xdr:grpSp>
    <xdr:clientData/>
  </xdr:twoCellAnchor>
  <xdr:twoCellAnchor editAs="oneCell">
    <xdr:from>
      <xdr:col>22</xdr:col>
      <xdr:colOff>322543</xdr:colOff>
      <xdr:row>22</xdr:row>
      <xdr:rowOff>39319</xdr:rowOff>
    </xdr:from>
    <xdr:to>
      <xdr:col>22</xdr:col>
      <xdr:colOff>1788196</xdr:colOff>
      <xdr:row>22</xdr:row>
      <xdr:rowOff>722682</xdr:rowOff>
    </xdr:to>
    <xdr:grpSp>
      <xdr:nvGrpSpPr>
        <xdr:cNvPr id="87" name="101_23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GrpSpPr/>
      </xdr:nvGrpSpPr>
      <xdr:grpSpPr>
        <a:xfrm>
          <a:off x="16053832" y="14026030"/>
          <a:ext cx="1465653" cy="683363"/>
          <a:chOff x="1372886" y="23216885"/>
          <a:chExt cx="1466232" cy="681562"/>
        </a:xfrm>
      </xdr:grpSpPr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8900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23</xdr:row>
      <xdr:rowOff>221762</xdr:rowOff>
    </xdr:from>
    <xdr:to>
      <xdr:col>22</xdr:col>
      <xdr:colOff>1796129</xdr:colOff>
      <xdr:row>23</xdr:row>
      <xdr:rowOff>540238</xdr:rowOff>
    </xdr:to>
    <xdr:grpSp>
      <xdr:nvGrpSpPr>
        <xdr:cNvPr id="104" name="0_24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pSpPr/>
      </xdr:nvGrpSpPr>
      <xdr:grpSpPr>
        <a:xfrm>
          <a:off x="16045899" y="14970473"/>
          <a:ext cx="1481519" cy="318476"/>
          <a:chOff x="1172308" y="1488831"/>
          <a:chExt cx="1505160" cy="318476"/>
        </a:xfrm>
      </xdr:grpSpPr>
      <xdr:pic>
        <xdr:nvPicPr>
          <xdr:cNvPr id="105" name="StraightBar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2150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24</xdr:row>
      <xdr:rowOff>221762</xdr:rowOff>
    </xdr:from>
    <xdr:to>
      <xdr:col>22</xdr:col>
      <xdr:colOff>1796129</xdr:colOff>
      <xdr:row>24</xdr:row>
      <xdr:rowOff>540238</xdr:rowOff>
    </xdr:to>
    <xdr:grpSp>
      <xdr:nvGrpSpPr>
        <xdr:cNvPr id="107" name="0_25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GrpSpPr/>
      </xdr:nvGrpSpPr>
      <xdr:grpSpPr>
        <a:xfrm>
          <a:off x="16045899" y="15732473"/>
          <a:ext cx="1481519" cy="318476"/>
          <a:chOff x="1172308" y="1488831"/>
          <a:chExt cx="1505160" cy="318476"/>
        </a:xfrm>
      </xdr:grpSpPr>
      <xdr:pic>
        <xdr:nvPicPr>
          <xdr:cNvPr id="108" name="StraightBar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9" name="TextBox 108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2000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25</xdr:row>
      <xdr:rowOff>221762</xdr:rowOff>
    </xdr:from>
    <xdr:to>
      <xdr:col>22</xdr:col>
      <xdr:colOff>1796129</xdr:colOff>
      <xdr:row>25</xdr:row>
      <xdr:rowOff>540238</xdr:rowOff>
    </xdr:to>
    <xdr:grpSp>
      <xdr:nvGrpSpPr>
        <xdr:cNvPr id="110" name="0_26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GrpSpPr/>
      </xdr:nvGrpSpPr>
      <xdr:grpSpPr>
        <a:xfrm>
          <a:off x="16045899" y="16494473"/>
          <a:ext cx="1481519" cy="318476"/>
          <a:chOff x="1172308" y="1488831"/>
          <a:chExt cx="1505160" cy="318476"/>
        </a:xfrm>
      </xdr:grpSpPr>
      <xdr:pic>
        <xdr:nvPicPr>
          <xdr:cNvPr id="111" name="StraightBar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12" name="TextBox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3600</a:t>
            </a:r>
          </a:p>
        </xdr:txBody>
      </xdr:sp>
    </xdr:grpSp>
    <xdr:clientData/>
  </xdr:twoCellAnchor>
  <xdr:twoCellAnchor editAs="oneCell">
    <xdr:from>
      <xdr:col>22</xdr:col>
      <xdr:colOff>415408</xdr:colOff>
      <xdr:row>32</xdr:row>
      <xdr:rowOff>588</xdr:rowOff>
    </xdr:from>
    <xdr:to>
      <xdr:col>22</xdr:col>
      <xdr:colOff>1695333</xdr:colOff>
      <xdr:row>32</xdr:row>
      <xdr:rowOff>761410</xdr:rowOff>
    </xdr:to>
    <xdr:grpSp>
      <xdr:nvGrpSpPr>
        <xdr:cNvPr id="137" name="61D_93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GrpSpPr/>
      </xdr:nvGrpSpPr>
      <xdr:grpSpPr>
        <a:xfrm>
          <a:off x="16146697" y="21607299"/>
          <a:ext cx="1279925" cy="760822"/>
          <a:chOff x="2161761" y="27670595"/>
          <a:chExt cx="2766707" cy="1719855"/>
        </a:xfrm>
      </xdr:grpSpPr>
      <xdr:pic>
        <xdr:nvPicPr>
          <xdr:cNvPr id="138" name="Picture 137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139" name="TextBox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800</a:t>
            </a:r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800</a:t>
            </a:r>
          </a:p>
        </xdr:txBody>
      </xdr:sp>
      <xdr:sp macro="" textlink="">
        <xdr:nvSpPr>
          <xdr:cNvPr id="141" name="TextBox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twoCellAnchor editAs="oneCell">
    <xdr:from>
      <xdr:col>22</xdr:col>
      <xdr:colOff>415408</xdr:colOff>
      <xdr:row>34</xdr:row>
      <xdr:rowOff>588</xdr:rowOff>
    </xdr:from>
    <xdr:to>
      <xdr:col>22</xdr:col>
      <xdr:colOff>1695333</xdr:colOff>
      <xdr:row>34</xdr:row>
      <xdr:rowOff>761410</xdr:rowOff>
    </xdr:to>
    <xdr:grpSp>
      <xdr:nvGrpSpPr>
        <xdr:cNvPr id="144" name="61D_95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GrpSpPr/>
      </xdr:nvGrpSpPr>
      <xdr:grpSpPr>
        <a:xfrm>
          <a:off x="16146697" y="23131299"/>
          <a:ext cx="1279925" cy="760822"/>
          <a:chOff x="2161761" y="27670595"/>
          <a:chExt cx="2766707" cy="1719855"/>
        </a:xfrm>
      </xdr:grpSpPr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200-00009200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204</a:t>
            </a:r>
          </a:p>
        </xdr:txBody>
      </xdr:sp>
      <xdr:sp macro="" textlink="">
        <xdr:nvSpPr>
          <xdr:cNvPr id="147" name="TextBox 146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204</a:t>
            </a:r>
          </a:p>
        </xdr:txBody>
      </xdr:sp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200-00009600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twoCellAnchor editAs="oneCell">
    <xdr:from>
      <xdr:col>22</xdr:col>
      <xdr:colOff>337700</xdr:colOff>
      <xdr:row>32</xdr:row>
      <xdr:rowOff>743891</xdr:rowOff>
    </xdr:from>
    <xdr:to>
      <xdr:col>22</xdr:col>
      <xdr:colOff>1773042</xdr:colOff>
      <xdr:row>34</xdr:row>
      <xdr:rowOff>18106</xdr:rowOff>
    </xdr:to>
    <xdr:grpSp>
      <xdr:nvGrpSpPr>
        <xdr:cNvPr id="151" name="212_94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GrpSpPr/>
      </xdr:nvGrpSpPr>
      <xdr:grpSpPr>
        <a:xfrm>
          <a:off x="16068989" y="22350602"/>
          <a:ext cx="1435342" cy="798215"/>
          <a:chOff x="1114385" y="20561839"/>
          <a:chExt cx="1435342" cy="803658"/>
        </a:xfrm>
      </xdr:grpSpPr>
      <xdr:pic>
        <xdr:nvPicPr>
          <xdr:cNvPr id="152" name="Picture 151">
            <a:extLst>
              <a:ext uri="{FF2B5EF4-FFF2-40B4-BE49-F238E27FC236}">
                <a16:creationId xmlns:a16="http://schemas.microsoft.com/office/drawing/2014/main" id="{00000000-0008-0000-02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153" name="TextBox 152">
            <a:extLst>
              <a:ext uri="{FF2B5EF4-FFF2-40B4-BE49-F238E27FC236}">
                <a16:creationId xmlns:a16="http://schemas.microsoft.com/office/drawing/2014/main" id="{00000000-0008-0000-0200-000099000000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350</a:t>
            </a:r>
          </a:p>
        </xdr:txBody>
      </xdr:sp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200-00009A000000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107</a:t>
            </a:r>
          </a:p>
        </xdr:txBody>
      </xdr:sp>
      <xdr:sp macro="" textlink="">
        <xdr:nvSpPr>
          <xdr:cNvPr id="155" name="TextBox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166</a:t>
            </a:r>
          </a:p>
        </xdr:txBody>
      </xdr:sp>
      <xdr:sp macro="" textlink="">
        <xdr:nvSpPr>
          <xdr:cNvPr id="156" name="TextBox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117</a:t>
            </a:r>
          </a:p>
        </xdr:txBody>
      </xdr:sp>
      <xdr:sp macro="" textlink="">
        <xdr:nvSpPr>
          <xdr:cNvPr id="157" name="TextBox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166.14</a:t>
            </a:r>
          </a:p>
        </xdr:txBody>
      </xdr:sp>
      <xdr:sp macro="" textlink="">
        <xdr:nvSpPr>
          <xdr:cNvPr id="158" name="TextBox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107</a:t>
            </a:r>
          </a:p>
        </xdr:txBody>
      </xdr: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80</a:t>
            </a:r>
          </a:p>
        </xdr:txBody>
      </xdr:sp>
    </xdr:grpSp>
    <xdr:clientData/>
  </xdr:twoCellAnchor>
  <xdr:twoCellAnchor editAs="oneCell">
    <xdr:from>
      <xdr:col>22</xdr:col>
      <xdr:colOff>153105</xdr:colOff>
      <xdr:row>35</xdr:row>
      <xdr:rowOff>47205</xdr:rowOff>
    </xdr:from>
    <xdr:to>
      <xdr:col>22</xdr:col>
      <xdr:colOff>1957635</xdr:colOff>
      <xdr:row>35</xdr:row>
      <xdr:rowOff>714794</xdr:rowOff>
    </xdr:to>
    <xdr:grpSp>
      <xdr:nvGrpSpPr>
        <xdr:cNvPr id="192" name="37HT_36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884394" y="23939916"/>
          <a:ext cx="1804530" cy="667589"/>
          <a:chOff x="1524000" y="26581751"/>
          <a:chExt cx="1805513" cy="668572"/>
        </a:xfrm>
      </xdr:grpSpPr>
      <xdr:pic>
        <xdr:nvPicPr>
          <xdr:cNvPr id="193" name="Picture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2568</a:t>
            </a:r>
          </a:p>
        </xdr:txBody>
      </xdr:sp>
    </xdr:grpSp>
    <xdr:clientData/>
  </xdr:twoCellAnchor>
  <xdr:twoCellAnchor editAs="oneCell">
    <xdr:from>
      <xdr:col>22</xdr:col>
      <xdr:colOff>153105</xdr:colOff>
      <xdr:row>36</xdr:row>
      <xdr:rowOff>47205</xdr:rowOff>
    </xdr:from>
    <xdr:to>
      <xdr:col>22</xdr:col>
      <xdr:colOff>1957635</xdr:colOff>
      <xdr:row>36</xdr:row>
      <xdr:rowOff>714794</xdr:rowOff>
    </xdr:to>
    <xdr:grpSp>
      <xdr:nvGrpSpPr>
        <xdr:cNvPr id="197" name="37HT_37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GrpSpPr/>
      </xdr:nvGrpSpPr>
      <xdr:grpSpPr>
        <a:xfrm>
          <a:off x="15884394" y="24701916"/>
          <a:ext cx="1804530" cy="667589"/>
          <a:chOff x="1524000" y="26581751"/>
          <a:chExt cx="1805513" cy="668572"/>
        </a:xfrm>
      </xdr:grpSpPr>
      <xdr:pic>
        <xdr:nvPicPr>
          <xdr:cNvPr id="198" name="Picture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2268</a:t>
            </a:r>
          </a:p>
        </xdr:txBody>
      </xdr:sp>
    </xdr:grpSp>
    <xdr:clientData/>
  </xdr:twoCellAnchor>
  <xdr:twoCellAnchor editAs="oneCell">
    <xdr:from>
      <xdr:col>22</xdr:col>
      <xdr:colOff>415407</xdr:colOff>
      <xdr:row>37</xdr:row>
      <xdr:rowOff>589</xdr:rowOff>
    </xdr:from>
    <xdr:to>
      <xdr:col>22</xdr:col>
      <xdr:colOff>1695332</xdr:colOff>
      <xdr:row>37</xdr:row>
      <xdr:rowOff>761411</xdr:rowOff>
    </xdr:to>
    <xdr:grpSp>
      <xdr:nvGrpSpPr>
        <xdr:cNvPr id="216" name="61D_38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/>
      </xdr:nvGrpSpPr>
      <xdr:grpSpPr>
        <a:xfrm>
          <a:off x="16146696" y="25417300"/>
          <a:ext cx="1279925" cy="760822"/>
          <a:chOff x="2161761" y="27670595"/>
          <a:chExt cx="2766707" cy="1719855"/>
        </a:xfrm>
      </xdr:grpSpPr>
      <xdr:pic>
        <xdr:nvPicPr>
          <xdr:cNvPr id="217" name="Picture 216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200-0000DB00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220" name="TextBox 219">
            <a:extLst>
              <a:ext uri="{FF2B5EF4-FFF2-40B4-BE49-F238E27FC236}">
                <a16:creationId xmlns:a16="http://schemas.microsoft.com/office/drawing/2014/main" id="{00000000-0008-0000-0200-0000DC00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221" name="TextBox 220">
            <a:extLst>
              <a:ext uri="{FF2B5EF4-FFF2-40B4-BE49-F238E27FC236}">
                <a16:creationId xmlns:a16="http://schemas.microsoft.com/office/drawing/2014/main" id="{00000000-0008-0000-0200-0000DD00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00000000-0008-0000-0200-0000DE00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oneCellAnchor>
    <xdr:from>
      <xdr:col>22</xdr:col>
      <xdr:colOff>153105</xdr:colOff>
      <xdr:row>38</xdr:row>
      <xdr:rowOff>47205</xdr:rowOff>
    </xdr:from>
    <xdr:ext cx="1804530" cy="667589"/>
    <xdr:grpSp>
      <xdr:nvGrpSpPr>
        <xdr:cNvPr id="223" name="37HT_36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15884394" y="26225916"/>
          <a:ext cx="1804530" cy="667589"/>
          <a:chOff x="1524000" y="26581751"/>
          <a:chExt cx="1805513" cy="668572"/>
        </a:xfrm>
      </xdr:grpSpPr>
      <xdr:pic>
        <xdr:nvPicPr>
          <xdr:cNvPr id="224" name="Picture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25" name="TextBox 224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26" name="TextBox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27" name="TextBox 226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2568</a:t>
            </a:r>
          </a:p>
        </xdr:txBody>
      </xdr:sp>
    </xdr:grpSp>
    <xdr:clientData/>
  </xdr:oneCellAnchor>
  <xdr:oneCellAnchor>
    <xdr:from>
      <xdr:col>22</xdr:col>
      <xdr:colOff>153105</xdr:colOff>
      <xdr:row>39</xdr:row>
      <xdr:rowOff>47205</xdr:rowOff>
    </xdr:from>
    <xdr:ext cx="1804530" cy="667589"/>
    <xdr:grpSp>
      <xdr:nvGrpSpPr>
        <xdr:cNvPr id="228" name="37HT_3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/>
      </xdr:nvGrpSpPr>
      <xdr:grpSpPr>
        <a:xfrm>
          <a:off x="15884394" y="26987916"/>
          <a:ext cx="1804530" cy="667589"/>
          <a:chOff x="1524000" y="26581751"/>
          <a:chExt cx="1805513" cy="668572"/>
        </a:xfrm>
      </xdr:grpSpPr>
      <xdr:pic>
        <xdr:nvPicPr>
          <xdr:cNvPr id="229" name="Picture 228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2268</a:t>
            </a:r>
          </a:p>
        </xdr:txBody>
      </xdr:sp>
    </xdr:grpSp>
    <xdr:clientData/>
  </xdr:oneCellAnchor>
  <xdr:twoCellAnchor editAs="oneCell">
    <xdr:from>
      <xdr:col>22</xdr:col>
      <xdr:colOff>415407</xdr:colOff>
      <xdr:row>40</xdr:row>
      <xdr:rowOff>588</xdr:rowOff>
    </xdr:from>
    <xdr:to>
      <xdr:col>22</xdr:col>
      <xdr:colOff>1695332</xdr:colOff>
      <xdr:row>40</xdr:row>
      <xdr:rowOff>761410</xdr:rowOff>
    </xdr:to>
    <xdr:grpSp>
      <xdr:nvGrpSpPr>
        <xdr:cNvPr id="254" name="61D_41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GrpSpPr/>
      </xdr:nvGrpSpPr>
      <xdr:grpSpPr>
        <a:xfrm>
          <a:off x="16146696" y="27703299"/>
          <a:ext cx="1279925" cy="760822"/>
          <a:chOff x="2161761" y="27670595"/>
          <a:chExt cx="2766707" cy="1719855"/>
        </a:xfrm>
      </xdr:grpSpPr>
      <xdr:pic>
        <xdr:nvPicPr>
          <xdr:cNvPr id="255" name="Picture 254">
            <a:extLst>
              <a:ext uri="{FF2B5EF4-FFF2-40B4-BE49-F238E27FC236}">
                <a16:creationId xmlns:a16="http://schemas.microsoft.com/office/drawing/2014/main" id="{00000000-0008-0000-0200-0000F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56" name="TextBox 255">
            <a:extLst>
              <a:ext uri="{FF2B5EF4-FFF2-40B4-BE49-F238E27FC236}">
                <a16:creationId xmlns:a16="http://schemas.microsoft.com/office/drawing/2014/main" id="{00000000-0008-0000-0200-00000001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200</a:t>
            </a:r>
          </a:p>
        </xdr:txBody>
      </xdr:sp>
      <xdr:sp macro="" textlink="">
        <xdr:nvSpPr>
          <xdr:cNvPr id="257" name="TextBox 256">
            <a:extLst>
              <a:ext uri="{FF2B5EF4-FFF2-40B4-BE49-F238E27FC236}">
                <a16:creationId xmlns:a16="http://schemas.microsoft.com/office/drawing/2014/main" id="{00000000-0008-0000-0200-00000101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200</a:t>
            </a:r>
          </a:p>
        </xdr:txBody>
      </xdr:sp>
      <xdr:sp macro="" textlink="">
        <xdr:nvSpPr>
          <xdr:cNvPr id="258" name="TextBox 257">
            <a:extLst>
              <a:ext uri="{FF2B5EF4-FFF2-40B4-BE49-F238E27FC236}">
                <a16:creationId xmlns:a16="http://schemas.microsoft.com/office/drawing/2014/main" id="{00000000-0008-0000-0200-00000201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259" name="TextBox 258">
            <a:extLst>
              <a:ext uri="{FF2B5EF4-FFF2-40B4-BE49-F238E27FC236}">
                <a16:creationId xmlns:a16="http://schemas.microsoft.com/office/drawing/2014/main" id="{00000000-0008-0000-0200-00000301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00000000-0008-0000-0200-00000401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twoCellAnchor editAs="oneCell">
    <xdr:from>
      <xdr:col>22</xdr:col>
      <xdr:colOff>153105</xdr:colOff>
      <xdr:row>41</xdr:row>
      <xdr:rowOff>47205</xdr:rowOff>
    </xdr:from>
    <xdr:to>
      <xdr:col>22</xdr:col>
      <xdr:colOff>1957635</xdr:colOff>
      <xdr:row>41</xdr:row>
      <xdr:rowOff>714794</xdr:rowOff>
    </xdr:to>
    <xdr:grpSp>
      <xdr:nvGrpSpPr>
        <xdr:cNvPr id="261" name="37HT_42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15884394" y="28511916"/>
          <a:ext cx="1804530" cy="667589"/>
          <a:chOff x="1524000" y="26581751"/>
          <a:chExt cx="1805513" cy="668572"/>
        </a:xfrm>
      </xdr:grpSpPr>
      <xdr:pic>
        <xdr:nvPicPr>
          <xdr:cNvPr id="262" name="Picture 261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2568</a:t>
            </a:r>
          </a:p>
        </xdr:txBody>
      </xdr:sp>
    </xdr:grpSp>
    <xdr:clientData/>
  </xdr:twoCellAnchor>
  <xdr:twoCellAnchor editAs="oneCell">
    <xdr:from>
      <xdr:col>22</xdr:col>
      <xdr:colOff>153105</xdr:colOff>
      <xdr:row>42</xdr:row>
      <xdr:rowOff>47205</xdr:rowOff>
    </xdr:from>
    <xdr:to>
      <xdr:col>22</xdr:col>
      <xdr:colOff>1957635</xdr:colOff>
      <xdr:row>42</xdr:row>
      <xdr:rowOff>714794</xdr:rowOff>
    </xdr:to>
    <xdr:grpSp>
      <xdr:nvGrpSpPr>
        <xdr:cNvPr id="266" name="37HT_43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/>
      </xdr:nvGrpSpPr>
      <xdr:grpSpPr>
        <a:xfrm>
          <a:off x="15884394" y="29273916"/>
          <a:ext cx="1804530" cy="667589"/>
          <a:chOff x="1524000" y="26581751"/>
          <a:chExt cx="1805513" cy="668572"/>
        </a:xfrm>
      </xdr:grpSpPr>
      <xdr:pic>
        <xdr:nvPicPr>
          <xdr:cNvPr id="267" name="Pictur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69" name="TextBox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70" name="TextBox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2268</a:t>
            </a:r>
          </a:p>
        </xdr:txBody>
      </xdr:sp>
    </xdr:grpSp>
    <xdr:clientData/>
  </xdr:twoCellAnchor>
  <xdr:twoCellAnchor editAs="oneCell">
    <xdr:from>
      <xdr:col>22</xdr:col>
      <xdr:colOff>304174</xdr:colOff>
      <xdr:row>26</xdr:row>
      <xdr:rowOff>139989</xdr:rowOff>
    </xdr:from>
    <xdr:to>
      <xdr:col>22</xdr:col>
      <xdr:colOff>1806567</xdr:colOff>
      <xdr:row>26</xdr:row>
      <xdr:rowOff>631023</xdr:rowOff>
    </xdr:to>
    <xdr:grpSp>
      <xdr:nvGrpSpPr>
        <xdr:cNvPr id="305" name="11_27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/>
      </xdr:nvGrpSpPr>
      <xdr:grpSpPr>
        <a:xfrm>
          <a:off x="16035463" y="17174700"/>
          <a:ext cx="1502393" cy="491034"/>
          <a:chOff x="1106460" y="361462"/>
          <a:chExt cx="1499899" cy="508350"/>
        </a:xfrm>
      </xdr:grpSpPr>
      <xdr:pic>
        <xdr:nvPicPr>
          <xdr:cNvPr id="306" name="Picture 305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07" name="TextBox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08" name="TextBox 307">
            <a:extLst>
              <a:ext uri="{FF2B5EF4-FFF2-40B4-BE49-F238E27FC236}">
                <a16:creationId xmlns:a16="http://schemas.microsoft.com/office/drawing/2014/main" id="{00000000-0008-0000-0200-000034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4146</a:t>
            </a:r>
          </a:p>
        </xdr:txBody>
      </xdr:sp>
    </xdr:grpSp>
    <xdr:clientData/>
  </xdr:twoCellAnchor>
  <xdr:twoCellAnchor editAs="oneCell">
    <xdr:from>
      <xdr:col>22</xdr:col>
      <xdr:colOff>304174</xdr:colOff>
      <xdr:row>27</xdr:row>
      <xdr:rowOff>139989</xdr:rowOff>
    </xdr:from>
    <xdr:to>
      <xdr:col>22</xdr:col>
      <xdr:colOff>1806567</xdr:colOff>
      <xdr:row>27</xdr:row>
      <xdr:rowOff>631023</xdr:rowOff>
    </xdr:to>
    <xdr:grpSp>
      <xdr:nvGrpSpPr>
        <xdr:cNvPr id="309" name="11_2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pSpPr/>
      </xdr:nvGrpSpPr>
      <xdr:grpSpPr>
        <a:xfrm>
          <a:off x="16035463" y="17936700"/>
          <a:ext cx="1502393" cy="491034"/>
          <a:chOff x="1106460" y="361462"/>
          <a:chExt cx="1499899" cy="508350"/>
        </a:xfrm>
      </xdr:grpSpPr>
      <xdr:pic>
        <xdr:nvPicPr>
          <xdr:cNvPr id="310" name="Picture 309">
            <a:extLst>
              <a:ext uri="{FF2B5EF4-FFF2-40B4-BE49-F238E27FC236}">
                <a16:creationId xmlns:a16="http://schemas.microsoft.com/office/drawing/2014/main" id="{00000000-0008-0000-0200-00003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00000000-0008-0000-0200-000037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12" name="TextBox 311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3626</a:t>
            </a:r>
          </a:p>
        </xdr:txBody>
      </xdr:sp>
    </xdr:grpSp>
    <xdr:clientData/>
  </xdr:twoCellAnchor>
  <xdr:twoCellAnchor editAs="oneCell">
    <xdr:from>
      <xdr:col>22</xdr:col>
      <xdr:colOff>304174</xdr:colOff>
      <xdr:row>28</xdr:row>
      <xdr:rowOff>139989</xdr:rowOff>
    </xdr:from>
    <xdr:to>
      <xdr:col>22</xdr:col>
      <xdr:colOff>1806567</xdr:colOff>
      <xdr:row>28</xdr:row>
      <xdr:rowOff>631023</xdr:rowOff>
    </xdr:to>
    <xdr:grpSp>
      <xdr:nvGrpSpPr>
        <xdr:cNvPr id="313" name="11_29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GrpSpPr/>
      </xdr:nvGrpSpPr>
      <xdr:grpSpPr>
        <a:xfrm>
          <a:off x="16035463" y="18698700"/>
          <a:ext cx="1502393" cy="491034"/>
          <a:chOff x="1106460" y="361462"/>
          <a:chExt cx="1499899" cy="508350"/>
        </a:xfrm>
      </xdr:grpSpPr>
      <xdr:pic>
        <xdr:nvPicPr>
          <xdr:cNvPr id="314" name="Picture 313">
            <a:extLst>
              <a:ext uri="{FF2B5EF4-FFF2-40B4-BE49-F238E27FC236}">
                <a16:creationId xmlns:a16="http://schemas.microsoft.com/office/drawing/2014/main" id="{00000000-0008-0000-0200-00003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15" name="TextBox 314">
            <a:extLst>
              <a:ext uri="{FF2B5EF4-FFF2-40B4-BE49-F238E27FC236}">
                <a16:creationId xmlns:a16="http://schemas.microsoft.com/office/drawing/2014/main" id="{00000000-0008-0000-0200-00003B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16" name="TextBox 315">
            <a:extLst>
              <a:ext uri="{FF2B5EF4-FFF2-40B4-BE49-F238E27FC236}">
                <a16:creationId xmlns:a16="http://schemas.microsoft.com/office/drawing/2014/main" id="{00000000-0008-0000-0200-00003C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4146</a:t>
            </a:r>
          </a:p>
        </xdr:txBody>
      </xdr:sp>
    </xdr:grpSp>
    <xdr:clientData/>
  </xdr:twoCellAnchor>
  <xdr:twoCellAnchor editAs="oneCell">
    <xdr:from>
      <xdr:col>22</xdr:col>
      <xdr:colOff>304174</xdr:colOff>
      <xdr:row>29</xdr:row>
      <xdr:rowOff>139989</xdr:rowOff>
    </xdr:from>
    <xdr:to>
      <xdr:col>22</xdr:col>
      <xdr:colOff>1806567</xdr:colOff>
      <xdr:row>29</xdr:row>
      <xdr:rowOff>631023</xdr:rowOff>
    </xdr:to>
    <xdr:grpSp>
      <xdr:nvGrpSpPr>
        <xdr:cNvPr id="317" name="11_30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/>
      </xdr:nvGrpSpPr>
      <xdr:grpSpPr>
        <a:xfrm>
          <a:off x="16035463" y="19460700"/>
          <a:ext cx="1502393" cy="491034"/>
          <a:chOff x="1106460" y="361462"/>
          <a:chExt cx="1499899" cy="508350"/>
        </a:xfrm>
      </xdr:grpSpPr>
      <xdr:pic>
        <xdr:nvPicPr>
          <xdr:cNvPr id="318" name="Picture 317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19" name="TextBox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20" name="TextBox 319">
            <a:extLst>
              <a:ext uri="{FF2B5EF4-FFF2-40B4-BE49-F238E27FC236}">
                <a16:creationId xmlns:a16="http://schemas.microsoft.com/office/drawing/2014/main" id="{00000000-0008-0000-0200-000040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3626</a:t>
            </a:r>
          </a:p>
        </xdr:txBody>
      </xdr:sp>
    </xdr:grpSp>
    <xdr:clientData/>
  </xdr:twoCellAnchor>
  <xdr:twoCellAnchor editAs="oneCell">
    <xdr:from>
      <xdr:col>22</xdr:col>
      <xdr:colOff>304174</xdr:colOff>
      <xdr:row>30</xdr:row>
      <xdr:rowOff>139989</xdr:rowOff>
    </xdr:from>
    <xdr:to>
      <xdr:col>22</xdr:col>
      <xdr:colOff>1806567</xdr:colOff>
      <xdr:row>30</xdr:row>
      <xdr:rowOff>631023</xdr:rowOff>
    </xdr:to>
    <xdr:grpSp>
      <xdr:nvGrpSpPr>
        <xdr:cNvPr id="321" name="11_31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pSpPr/>
      </xdr:nvGrpSpPr>
      <xdr:grpSpPr>
        <a:xfrm>
          <a:off x="16035463" y="20222700"/>
          <a:ext cx="1502393" cy="491034"/>
          <a:chOff x="1106460" y="361462"/>
          <a:chExt cx="1499899" cy="508350"/>
        </a:xfrm>
      </xdr:grpSpPr>
      <xdr:pic>
        <xdr:nvPicPr>
          <xdr:cNvPr id="322" name="Picture 321">
            <a:extLst>
              <a:ext uri="{FF2B5EF4-FFF2-40B4-BE49-F238E27FC236}">
                <a16:creationId xmlns:a16="http://schemas.microsoft.com/office/drawing/2014/main" id="{00000000-0008-0000-0200-00004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00000000-0008-0000-0200-000043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4146</a:t>
            </a:r>
          </a:p>
        </xdr:txBody>
      </xdr:sp>
    </xdr:grpSp>
    <xdr:clientData/>
  </xdr:twoCellAnchor>
  <xdr:twoCellAnchor editAs="oneCell">
    <xdr:from>
      <xdr:col>22</xdr:col>
      <xdr:colOff>304174</xdr:colOff>
      <xdr:row>31</xdr:row>
      <xdr:rowOff>139989</xdr:rowOff>
    </xdr:from>
    <xdr:to>
      <xdr:col>22</xdr:col>
      <xdr:colOff>1806567</xdr:colOff>
      <xdr:row>31</xdr:row>
      <xdr:rowOff>631023</xdr:rowOff>
    </xdr:to>
    <xdr:grpSp>
      <xdr:nvGrpSpPr>
        <xdr:cNvPr id="325" name="11_32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GrpSpPr/>
      </xdr:nvGrpSpPr>
      <xdr:grpSpPr>
        <a:xfrm>
          <a:off x="16035463" y="20984700"/>
          <a:ext cx="1502393" cy="491034"/>
          <a:chOff x="1106460" y="361462"/>
          <a:chExt cx="1499899" cy="508350"/>
        </a:xfrm>
      </xdr:grpSpPr>
      <xdr:pic>
        <xdr:nvPicPr>
          <xdr:cNvPr id="326" name="Picture 325">
            <a:extLst>
              <a:ext uri="{FF2B5EF4-FFF2-40B4-BE49-F238E27FC236}">
                <a16:creationId xmlns:a16="http://schemas.microsoft.com/office/drawing/2014/main" id="{00000000-0008-0000-0200-00004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27" name="TextBox 326">
            <a:extLst>
              <a:ext uri="{FF2B5EF4-FFF2-40B4-BE49-F238E27FC236}">
                <a16:creationId xmlns:a16="http://schemas.microsoft.com/office/drawing/2014/main" id="{00000000-0008-0000-0200-000047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28" name="TextBox 327">
            <a:extLst>
              <a:ext uri="{FF2B5EF4-FFF2-40B4-BE49-F238E27FC236}">
                <a16:creationId xmlns:a16="http://schemas.microsoft.com/office/drawing/2014/main" id="{00000000-0008-0000-0200-000048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3626</a:t>
            </a:r>
          </a:p>
        </xdr:txBody>
      </xdr:sp>
    </xdr:grpSp>
    <xdr:clientData/>
  </xdr:twoCellAnchor>
  <xdr:twoCellAnchor editAs="oneCell">
    <xdr:from>
      <xdr:col>22</xdr:col>
      <xdr:colOff>304174</xdr:colOff>
      <xdr:row>43</xdr:row>
      <xdr:rowOff>139987</xdr:rowOff>
    </xdr:from>
    <xdr:to>
      <xdr:col>22</xdr:col>
      <xdr:colOff>1806567</xdr:colOff>
      <xdr:row>43</xdr:row>
      <xdr:rowOff>631021</xdr:rowOff>
    </xdr:to>
    <xdr:grpSp>
      <xdr:nvGrpSpPr>
        <xdr:cNvPr id="337" name="11_44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GrpSpPr/>
      </xdr:nvGrpSpPr>
      <xdr:grpSpPr>
        <a:xfrm>
          <a:off x="16035463" y="30128698"/>
          <a:ext cx="1502393" cy="491034"/>
          <a:chOff x="1106460" y="361462"/>
          <a:chExt cx="1499899" cy="508350"/>
        </a:xfrm>
      </xdr:grpSpPr>
      <xdr:pic>
        <xdr:nvPicPr>
          <xdr:cNvPr id="338" name="Picture 337">
            <a:extLst>
              <a:ext uri="{FF2B5EF4-FFF2-40B4-BE49-F238E27FC236}">
                <a16:creationId xmlns:a16="http://schemas.microsoft.com/office/drawing/2014/main" id="{00000000-0008-0000-0200-00005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39" name="TextBox 338">
            <a:extLst>
              <a:ext uri="{FF2B5EF4-FFF2-40B4-BE49-F238E27FC236}">
                <a16:creationId xmlns:a16="http://schemas.microsoft.com/office/drawing/2014/main" id="{00000000-0008-0000-0200-000053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40" name="TextBox 339">
            <a:extLst>
              <a:ext uri="{FF2B5EF4-FFF2-40B4-BE49-F238E27FC236}">
                <a16:creationId xmlns:a16="http://schemas.microsoft.com/office/drawing/2014/main" id="{00000000-0008-0000-0200-000054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4522</a:t>
            </a:r>
          </a:p>
        </xdr:txBody>
      </xdr:sp>
    </xdr:grpSp>
    <xdr:clientData/>
  </xdr:twoCellAnchor>
  <xdr:twoCellAnchor editAs="oneCell">
    <xdr:from>
      <xdr:col>22</xdr:col>
      <xdr:colOff>304174</xdr:colOff>
      <xdr:row>44</xdr:row>
      <xdr:rowOff>139987</xdr:rowOff>
    </xdr:from>
    <xdr:to>
      <xdr:col>22</xdr:col>
      <xdr:colOff>1806567</xdr:colOff>
      <xdr:row>44</xdr:row>
      <xdr:rowOff>631021</xdr:rowOff>
    </xdr:to>
    <xdr:grpSp>
      <xdr:nvGrpSpPr>
        <xdr:cNvPr id="341" name="11_45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/>
      </xdr:nvGrpSpPr>
      <xdr:grpSpPr>
        <a:xfrm>
          <a:off x="16035463" y="30890698"/>
          <a:ext cx="1502393" cy="491034"/>
          <a:chOff x="1106460" y="361462"/>
          <a:chExt cx="1499899" cy="508350"/>
        </a:xfrm>
      </xdr:grpSpPr>
      <xdr:pic>
        <xdr:nvPicPr>
          <xdr:cNvPr id="342" name="Picture 341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43" name="TextBox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44" name="TextBox 343">
            <a:extLst>
              <a:ext uri="{FF2B5EF4-FFF2-40B4-BE49-F238E27FC236}">
                <a16:creationId xmlns:a16="http://schemas.microsoft.com/office/drawing/2014/main" id="{00000000-0008-0000-0200-000058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3690</a:t>
            </a:r>
          </a:p>
        </xdr:txBody>
      </xdr:sp>
    </xdr:grpSp>
    <xdr:clientData/>
  </xdr:twoCellAnchor>
  <xdr:twoCellAnchor editAs="oneCell">
    <xdr:from>
      <xdr:col>22</xdr:col>
      <xdr:colOff>169580</xdr:colOff>
      <xdr:row>45</xdr:row>
      <xdr:rowOff>47419</xdr:rowOff>
    </xdr:from>
    <xdr:to>
      <xdr:col>22</xdr:col>
      <xdr:colOff>1941158</xdr:colOff>
      <xdr:row>45</xdr:row>
      <xdr:rowOff>714578</xdr:rowOff>
    </xdr:to>
    <xdr:grpSp>
      <xdr:nvGrpSpPr>
        <xdr:cNvPr id="345" name="38D_46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GrpSpPr/>
      </xdr:nvGrpSpPr>
      <xdr:grpSpPr>
        <a:xfrm>
          <a:off x="15900869" y="31560130"/>
          <a:ext cx="1771578" cy="667159"/>
          <a:chOff x="1035270" y="15565821"/>
          <a:chExt cx="1720460" cy="934182"/>
        </a:xfrm>
      </xdr:grpSpPr>
      <xdr:pic>
        <xdr:nvPicPr>
          <xdr:cNvPr id="346" name="Picture 345">
            <a:extLst>
              <a:ext uri="{FF2B5EF4-FFF2-40B4-BE49-F238E27FC236}">
                <a16:creationId xmlns:a16="http://schemas.microsoft.com/office/drawing/2014/main" id="{00000000-0008-0000-0200-00005A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47" name="TextBox 346">
            <a:extLst>
              <a:ext uri="{FF2B5EF4-FFF2-40B4-BE49-F238E27FC236}">
                <a16:creationId xmlns:a16="http://schemas.microsoft.com/office/drawing/2014/main" id="{00000000-0008-0000-0200-00005B01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475</a:t>
            </a:r>
            <a:endParaRPr lang="en-IN" sz="700"/>
          </a:p>
        </xdr:txBody>
      </xdr:sp>
      <xdr:sp macro="" textlink="">
        <xdr:nvSpPr>
          <xdr:cNvPr id="348" name="TextBox 347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475</a:t>
            </a:r>
            <a:endParaRPr lang="en-IN" sz="700"/>
          </a:p>
        </xdr:txBody>
      </xdr:sp>
      <xdr:sp macro="" textlink="">
        <xdr:nvSpPr>
          <xdr:cNvPr id="349" name="TextBox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8900</a:t>
            </a:r>
            <a:endParaRPr lang="en-IN" sz="700"/>
          </a:p>
        </xdr:txBody>
      </xdr:sp>
    </xdr:grpSp>
    <xdr:clientData/>
  </xdr:twoCellAnchor>
  <xdr:twoCellAnchor editAs="oneCell">
    <xdr:from>
      <xdr:col>21</xdr:col>
      <xdr:colOff>497554</xdr:colOff>
      <xdr:row>80</xdr:row>
      <xdr:rowOff>93729</xdr:rowOff>
    </xdr:from>
    <xdr:to>
      <xdr:col>24</xdr:col>
      <xdr:colOff>96808</xdr:colOff>
      <xdr:row>82</xdr:row>
      <xdr:rowOff>233932</xdr:rowOff>
    </xdr:to>
    <xdr:grpSp>
      <xdr:nvGrpSpPr>
        <xdr:cNvPr id="896" name="21_82">
          <a:extLst>
            <a:ext uri="{FF2B5EF4-FFF2-40B4-BE49-F238E27FC236}">
              <a16:creationId xmlns:a16="http://schemas.microsoft.com/office/drawing/2014/main" id="{00000000-0008-0000-0200-000080030000}"/>
            </a:ext>
          </a:extLst>
        </xdr:cNvPr>
        <xdr:cNvGrpSpPr/>
      </xdr:nvGrpSpPr>
      <xdr:grpSpPr>
        <a:xfrm>
          <a:off x="15637291" y="51809466"/>
          <a:ext cx="2306359" cy="801940"/>
          <a:chOff x="1296638" y="34828976"/>
          <a:chExt cx="2502456" cy="944427"/>
        </a:xfrm>
      </xdr:grpSpPr>
      <xdr:pic>
        <xdr:nvPicPr>
          <xdr:cNvPr id="897" name="Picture 896">
            <a:extLst>
              <a:ext uri="{FF2B5EF4-FFF2-40B4-BE49-F238E27FC236}">
                <a16:creationId xmlns:a16="http://schemas.microsoft.com/office/drawing/2014/main" id="{00000000-0008-0000-0200-00008103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898" name="TextBox 897">
            <a:extLst>
              <a:ext uri="{FF2B5EF4-FFF2-40B4-BE49-F238E27FC236}">
                <a16:creationId xmlns:a16="http://schemas.microsoft.com/office/drawing/2014/main" id="{00000000-0008-0000-0200-000082030000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121</a:t>
            </a:r>
          </a:p>
        </xdr:txBody>
      </xdr:sp>
      <xdr:sp macro="" textlink="">
        <xdr:nvSpPr>
          <xdr:cNvPr id="899" name="TextBox 898">
            <a:extLst>
              <a:ext uri="{FF2B5EF4-FFF2-40B4-BE49-F238E27FC236}">
                <a16:creationId xmlns:a16="http://schemas.microsoft.com/office/drawing/2014/main" id="{00000000-0008-0000-0200-000083030000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232</a:t>
            </a:r>
          </a:p>
        </xdr:txBody>
      </xdr:sp>
      <xdr:sp macro="" textlink="">
        <xdr:nvSpPr>
          <xdr:cNvPr id="900" name="TextBox 899">
            <a:extLst>
              <a:ext uri="{FF2B5EF4-FFF2-40B4-BE49-F238E27FC236}">
                <a16:creationId xmlns:a16="http://schemas.microsoft.com/office/drawing/2014/main" id="{00000000-0008-0000-0200-000084030000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23</a:t>
            </a:r>
          </a:p>
        </xdr:txBody>
      </xdr:sp>
    </xdr:grpSp>
    <xdr:clientData/>
  </xdr:twoCellAnchor>
  <xdr:twoCellAnchor editAs="oneCell">
    <xdr:from>
      <xdr:col>22</xdr:col>
      <xdr:colOff>220413</xdr:colOff>
      <xdr:row>77</xdr:row>
      <xdr:rowOff>155287</xdr:rowOff>
    </xdr:from>
    <xdr:to>
      <xdr:col>22</xdr:col>
      <xdr:colOff>1890328</xdr:colOff>
      <xdr:row>79</xdr:row>
      <xdr:rowOff>172373</xdr:rowOff>
    </xdr:to>
    <xdr:grpSp>
      <xdr:nvGrpSpPr>
        <xdr:cNvPr id="30" name="11FT_79">
          <a:extLst>
            <a:ext uri="{FF2B5EF4-FFF2-40B4-BE49-F238E27FC236}">
              <a16:creationId xmlns:a16="http://schemas.microsoft.com/office/drawing/2014/main" id="{C2FD3874-1616-442A-B18B-0564978B9392}"/>
            </a:ext>
          </a:extLst>
        </xdr:cNvPr>
        <xdr:cNvGrpSpPr/>
      </xdr:nvGrpSpPr>
      <xdr:grpSpPr>
        <a:xfrm>
          <a:off x="15951702" y="50878419"/>
          <a:ext cx="1669915" cy="678822"/>
          <a:chOff x="1880680" y="36181489"/>
          <a:chExt cx="1669915" cy="678823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498D16EF-EC1A-E5B2-36AF-4D00816C86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2086716" y="36181489"/>
            <a:ext cx="1463879" cy="595540"/>
          </a:xfrm>
          <a:prstGeom prst="rect">
            <a:avLst/>
          </a:prstGeom>
        </xdr:spPr>
      </xdr:pic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10EB98C3-E3FF-465D-3679-F309FFD0950C}"/>
              </a:ext>
            </a:extLst>
          </xdr:cNvPr>
          <xdr:cNvSpPr txBox="1"/>
        </xdr:nvSpPr>
        <xdr:spPr>
          <a:xfrm>
            <a:off x="2561615" y="36657063"/>
            <a:ext cx="395763" cy="2032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800"/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24EA5715-39FE-EA96-66B7-394A8F1CEE3D}"/>
              </a:ext>
            </a:extLst>
          </xdr:cNvPr>
          <xdr:cNvSpPr txBox="1"/>
        </xdr:nvSpPr>
        <xdr:spPr>
          <a:xfrm>
            <a:off x="1880680" y="36349022"/>
            <a:ext cx="568700" cy="251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1212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2" name="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37815" y="366286"/>
          <a:ext cx="1502069" cy="479483"/>
          <a:chOff x="1106460" y="361462"/>
          <a:chExt cx="1499899" cy="49902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6" name="1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153528" y="2303860"/>
          <a:ext cx="1354019" cy="484784"/>
          <a:chOff x="1047098" y="2256692"/>
          <a:chExt cx="1353837" cy="478443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598853</xdr:colOff>
      <xdr:row>7</xdr:row>
      <xdr:rowOff>120812</xdr:rowOff>
    </xdr:from>
    <xdr:to>
      <xdr:col>3</xdr:col>
      <xdr:colOff>53452</xdr:colOff>
      <xdr:row>7</xdr:row>
      <xdr:rowOff>439288</xdr:rowOff>
    </xdr:to>
    <xdr:grpSp>
      <xdr:nvGrpSpPr>
        <xdr:cNvPr id="10" name="0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1209534" y="1634003"/>
          <a:ext cx="1481195" cy="318476"/>
          <a:chOff x="1172308" y="1488831"/>
          <a:chExt cx="1505160" cy="318476"/>
        </a:xfrm>
      </xdr:grpSpPr>
      <xdr:pic>
        <xdr:nvPicPr>
          <xdr:cNvPr id="11" name="StraightBar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3" name="41GJ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274021" y="3278291"/>
          <a:ext cx="1213218" cy="476578"/>
          <a:chOff x="1318531" y="2847443"/>
          <a:chExt cx="1215009" cy="450232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20" name="41F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1354712" y="4021903"/>
          <a:ext cx="1200149" cy="611825"/>
          <a:chOff x="1102560" y="4017210"/>
          <a:chExt cx="1200149" cy="583381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pSpPr/>
      </xdr:nvGrpSpPr>
      <xdr:grpSpPr>
        <a:xfrm>
          <a:off x="3585723" y="3320843"/>
          <a:ext cx="1140566" cy="420953"/>
          <a:chOff x="3374958" y="3793715"/>
          <a:chExt cx="1140565" cy="396634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29" name="31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pSpPr/>
      </xdr:nvGrpSpPr>
      <xdr:grpSpPr>
        <a:xfrm>
          <a:off x="1302198" y="4783259"/>
          <a:ext cx="1316164" cy="630073"/>
          <a:chOff x="1297362" y="4656116"/>
          <a:chExt cx="1316164" cy="601631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37" name="42S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1457974" y="5745438"/>
          <a:ext cx="1239917" cy="503723"/>
          <a:chOff x="1301680" y="5422351"/>
          <a:chExt cx="1334356" cy="518940"/>
        </a:xfrm>
      </xdr:grpSpPr>
      <xdr:grpSp>
        <xdr:nvGrpSpPr>
          <xdr:cNvPr id="38" name="42S1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39" name="1212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45" name="15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/>
      </xdr:nvGrpSpPr>
      <xdr:grpSpPr>
        <a:xfrm>
          <a:off x="1492680" y="6328852"/>
          <a:ext cx="943842" cy="405586"/>
          <a:chOff x="1472045" y="6192579"/>
          <a:chExt cx="873822" cy="488199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49" name="COS11a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GrpSpPr/>
      </xdr:nvGrpSpPr>
      <xdr:grpSpPr>
        <a:xfrm>
          <a:off x="1181647" y="6915326"/>
          <a:ext cx="1480716" cy="833500"/>
          <a:chOff x="1238905" y="6651225"/>
          <a:chExt cx="1505518" cy="791879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" name="COS11ab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0300-00003B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126959</xdr:colOff>
      <xdr:row>46</xdr:row>
      <xdr:rowOff>25202</xdr:rowOff>
    </xdr:from>
    <xdr:to>
      <xdr:col>12</xdr:col>
      <xdr:colOff>52480</xdr:colOff>
      <xdr:row>51</xdr:row>
      <xdr:rowOff>162008</xdr:rowOff>
    </xdr:to>
    <xdr:grpSp>
      <xdr:nvGrpSpPr>
        <xdr:cNvPr id="61" name="26sl1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GrpSpPr/>
      </xdr:nvGrpSpPr>
      <xdr:grpSpPr>
        <a:xfrm>
          <a:off x="6428321" y="8758479"/>
          <a:ext cx="1757563" cy="974465"/>
          <a:chOff x="1242271" y="7823216"/>
          <a:chExt cx="1777018" cy="926778"/>
        </a:xfrm>
      </xdr:grpSpPr>
      <xdr:pic>
        <xdr:nvPicPr>
          <xdr:cNvPr id="62" name="Picture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2271" y="7823216"/>
            <a:ext cx="1774810" cy="926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 txBox="1"/>
        </xdr:nvSpPr>
        <xdr:spPr>
          <a:xfrm>
            <a:off x="1591660" y="7888974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SpPr txBox="1"/>
        </xdr:nvSpPr>
        <xdr:spPr>
          <a:xfrm>
            <a:off x="1971551" y="801375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SpPr txBox="1"/>
        </xdr:nvSpPr>
        <xdr:spPr>
          <a:xfrm>
            <a:off x="2179520" y="824113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SpPr txBox="1"/>
        </xdr:nvSpPr>
        <xdr:spPr>
          <a:xfrm>
            <a:off x="2556638" y="8169040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 txBox="1"/>
        </xdr:nvSpPr>
        <xdr:spPr>
          <a:xfrm>
            <a:off x="2611624" y="8357598"/>
            <a:ext cx="407665" cy="171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2341650" y="7844605"/>
            <a:ext cx="348116" cy="227382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541746" y="8283103"/>
            <a:ext cx="446260" cy="2488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70" name="41FA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GrpSpPr/>
      </xdr:nvGrpSpPr>
      <xdr:grpSpPr>
        <a:xfrm>
          <a:off x="1411862" y="9382924"/>
          <a:ext cx="1142999" cy="611825"/>
          <a:chOff x="1159710" y="4017210"/>
          <a:chExt cx="1142999" cy="583381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75" name="41FB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GrpSpPr/>
      </xdr:nvGrpSpPr>
      <xdr:grpSpPr>
        <a:xfrm>
          <a:off x="1411862" y="10388116"/>
          <a:ext cx="1142999" cy="611824"/>
          <a:chOff x="1159710" y="4017210"/>
          <a:chExt cx="1142999" cy="583381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80" name="107A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09311" y="11592865"/>
          <a:ext cx="1786413" cy="734791"/>
          <a:chOff x="5609358" y="12365182"/>
          <a:chExt cx="1784120" cy="741997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88" name="Text Box 44">
            <a:extLst>
              <a:ext uri="{FF2B5EF4-FFF2-40B4-BE49-F238E27FC236}">
                <a16:creationId xmlns:a16="http://schemas.microsoft.com/office/drawing/2014/main" id="{00000000-0008-0000-0300-000058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89" name="11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GrpSpPr/>
      </xdr:nvGrpSpPr>
      <xdr:grpSpPr>
        <a:xfrm>
          <a:off x="1137815" y="366286"/>
          <a:ext cx="1502069" cy="479483"/>
          <a:chOff x="1106460" y="361462"/>
          <a:chExt cx="1499899" cy="499021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93" name="1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GrpSpPr/>
      </xdr:nvGrpSpPr>
      <xdr:grpSpPr>
        <a:xfrm>
          <a:off x="1153528" y="2303860"/>
          <a:ext cx="1354019" cy="484784"/>
          <a:chOff x="1047098" y="2256692"/>
          <a:chExt cx="1353837" cy="478443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00" name="41GJ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GrpSpPr/>
      </xdr:nvGrpSpPr>
      <xdr:grpSpPr>
        <a:xfrm>
          <a:off x="1274021" y="3278291"/>
          <a:ext cx="1213218" cy="476578"/>
          <a:chOff x="1318531" y="2847443"/>
          <a:chExt cx="1215009" cy="450232"/>
        </a:xfrm>
      </xdr:grpSpPr>
      <xdr:pic>
        <xdr:nvPicPr>
          <xdr:cNvPr id="101" name="Picture 100">
            <a:extLst>
              <a:ext uri="{FF2B5EF4-FFF2-40B4-BE49-F238E27FC236}">
                <a16:creationId xmlns:a16="http://schemas.microsoft.com/office/drawing/2014/main" id="{00000000-0008-0000-0300-00006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300-000069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107" name="41F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GrpSpPr/>
      </xdr:nvGrpSpPr>
      <xdr:grpSpPr>
        <a:xfrm>
          <a:off x="1354712" y="4021903"/>
          <a:ext cx="1200149" cy="611825"/>
          <a:chOff x="1102560" y="4017210"/>
          <a:chExt cx="1200149" cy="583381"/>
        </a:xfrm>
      </xdr:grpSpPr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9" name="TextBox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11" name="TextBox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GrpSpPr/>
      </xdr:nvGrpSpPr>
      <xdr:grpSpPr>
        <a:xfrm>
          <a:off x="3585723" y="3320843"/>
          <a:ext cx="1140566" cy="420953"/>
          <a:chOff x="3374958" y="3793715"/>
          <a:chExt cx="1140565" cy="396634"/>
        </a:xfrm>
      </xdr:grpSpPr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00000000-0008-0000-0300-00007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4" name="Picture 113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5" name="Picture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116" name="311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1302198" y="4783259"/>
          <a:ext cx="1316164" cy="630073"/>
          <a:chOff x="1297362" y="4656116"/>
          <a:chExt cx="1316164" cy="601631"/>
        </a:xfrm>
      </xdr:grpSpPr>
      <xdr:pic>
        <xdr:nvPicPr>
          <xdr:cNvPr id="117" name="Picture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124" name="42S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GrpSpPr/>
      </xdr:nvGrpSpPr>
      <xdr:grpSpPr>
        <a:xfrm>
          <a:off x="1457974" y="5745438"/>
          <a:ext cx="1239917" cy="503723"/>
          <a:chOff x="1301680" y="5422351"/>
          <a:chExt cx="1334356" cy="518940"/>
        </a:xfrm>
      </xdr:grpSpPr>
      <xdr:grpSp>
        <xdr:nvGrpSpPr>
          <xdr:cNvPr id="125" name="42S1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27" name="Picture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129" name="TextBox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130" name="TextBox 129">
              <a:extLst>
                <a:ext uri="{FF2B5EF4-FFF2-40B4-BE49-F238E27FC236}">
                  <a16:creationId xmlns:a16="http://schemas.microsoft.com/office/drawing/2014/main" id="{00000000-0008-0000-0300-000082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131" name="TextBox 130">
              <a:extLst>
                <a:ext uri="{FF2B5EF4-FFF2-40B4-BE49-F238E27FC236}">
                  <a16:creationId xmlns:a16="http://schemas.microsoft.com/office/drawing/2014/main" id="{00000000-0008-0000-0300-000083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126" name="1212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132" name="15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92680" y="6328852"/>
          <a:ext cx="943842" cy="405586"/>
          <a:chOff x="1472045" y="6192579"/>
          <a:chExt cx="873822" cy="488199"/>
        </a:xfrm>
      </xdr:grpSpPr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136" name="COS11a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GrpSpPr/>
      </xdr:nvGrpSpPr>
      <xdr:grpSpPr>
        <a:xfrm>
          <a:off x="1181647" y="6915326"/>
          <a:ext cx="1480716" cy="833500"/>
          <a:chOff x="1238905" y="6651225"/>
          <a:chExt cx="1505518" cy="791879"/>
        </a:xfrm>
      </xdr:grpSpPr>
      <xdr:pic>
        <xdr:nvPicPr>
          <xdr:cNvPr id="137" name="Picture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8" name="COS11ab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00000000-0008-0000-0300-00008B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140" name="TextBox 139">
              <a:extLst>
                <a:ext uri="{FF2B5EF4-FFF2-40B4-BE49-F238E27FC236}">
                  <a16:creationId xmlns:a16="http://schemas.microsoft.com/office/drawing/2014/main" id="{00000000-0008-0000-0300-00008C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00000000-0008-0000-0300-00008D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142" name="TextBox 141">
              <a:extLst>
                <a:ext uri="{FF2B5EF4-FFF2-40B4-BE49-F238E27FC236}">
                  <a16:creationId xmlns:a16="http://schemas.microsoft.com/office/drawing/2014/main" id="{00000000-0008-0000-0300-00008E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143" name="Picture 142">
              <a:extLst>
                <a:ext uri="{FF2B5EF4-FFF2-40B4-BE49-F238E27FC236}">
                  <a16:creationId xmlns:a16="http://schemas.microsoft.com/office/drawing/2014/main" id="{00000000-0008-0000-0300-00008F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145" name="Picture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6" name="Picture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7" name="Picture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117434</xdr:colOff>
      <xdr:row>41</xdr:row>
      <xdr:rowOff>25202</xdr:rowOff>
    </xdr:from>
    <xdr:to>
      <xdr:col>12</xdr:col>
      <xdr:colOff>40775</xdr:colOff>
      <xdr:row>46</xdr:row>
      <xdr:rowOff>162007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459" y="7883327"/>
          <a:ext cx="1752141" cy="970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464607</xdr:colOff>
      <xdr:row>42</xdr:row>
      <xdr:rowOff>139700</xdr:rowOff>
    </xdr:from>
    <xdr:to>
      <xdr:col>3</xdr:col>
      <xdr:colOff>309563</xdr:colOff>
      <xdr:row>48</xdr:row>
      <xdr:rowOff>80962</xdr:rowOff>
    </xdr:to>
    <xdr:grpSp>
      <xdr:nvGrpSpPr>
        <xdr:cNvPr id="179" name="26SL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GrpSpPr/>
      </xdr:nvGrpSpPr>
      <xdr:grpSpPr>
        <a:xfrm>
          <a:off x="1075288" y="8202849"/>
          <a:ext cx="1871552" cy="946453"/>
          <a:chOff x="4636557" y="8964613"/>
          <a:chExt cx="2120727" cy="1008592"/>
        </a:xfrm>
      </xdr:grpSpPr>
      <xdr:pic>
        <xdr:nvPicPr>
          <xdr:cNvPr id="178" name="Picture 177">
            <a:extLst>
              <a:ext uri="{FF2B5EF4-FFF2-40B4-BE49-F238E27FC236}">
                <a16:creationId xmlns:a16="http://schemas.microsoft.com/office/drawing/2014/main" id="{00000000-0008-0000-0300-0000B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300-000097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153" name="TextBox 152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155" name="Picture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157" name="41FA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1411862" y="9382924"/>
          <a:ext cx="1142999" cy="611825"/>
          <a:chOff x="1159710" y="4017210"/>
          <a:chExt cx="1142999" cy="583381"/>
        </a:xfrm>
      </xdr:grpSpPr>
      <xdr:pic>
        <xdr:nvPicPr>
          <xdr:cNvPr id="158" name="Picture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0" name="TextBox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61" name="TextBox 160">
            <a:extLst>
              <a:ext uri="{FF2B5EF4-FFF2-40B4-BE49-F238E27FC236}">
                <a16:creationId xmlns:a16="http://schemas.microsoft.com/office/drawing/2014/main" id="{00000000-0008-0000-0300-0000A1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162" name="41FB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1411862" y="10388116"/>
          <a:ext cx="1142999" cy="611824"/>
          <a:chOff x="1159710" y="4017210"/>
          <a:chExt cx="1142999" cy="583381"/>
        </a:xfrm>
      </xdr:grpSpPr>
      <xdr:pic>
        <xdr:nvPicPr>
          <xdr:cNvPr id="163" name="Picture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5" name="TextBox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167" name="107A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GrpSpPr/>
      </xdr:nvGrpSpPr>
      <xdr:grpSpPr>
        <a:xfrm>
          <a:off x="1209311" y="11592865"/>
          <a:ext cx="1786413" cy="734791"/>
          <a:chOff x="5609358" y="12365182"/>
          <a:chExt cx="1784120" cy="741997"/>
        </a:xfrm>
      </xdr:grpSpPr>
      <xdr:pic>
        <xdr:nvPicPr>
          <xdr:cNvPr id="168" name="Picture 167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169" name="Picture 168">
            <a:extLst>
              <a:ext uri="{FF2B5EF4-FFF2-40B4-BE49-F238E27FC236}">
                <a16:creationId xmlns:a16="http://schemas.microsoft.com/office/drawing/2014/main" id="{00000000-0008-0000-0300-0000A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173" name="TextBox 172">
            <a:extLst>
              <a:ext uri="{FF2B5EF4-FFF2-40B4-BE49-F238E27FC236}">
                <a16:creationId xmlns:a16="http://schemas.microsoft.com/office/drawing/2014/main" id="{00000000-0008-0000-0300-0000AD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174" name="Picture 173">
            <a:extLst>
              <a:ext uri="{FF2B5EF4-FFF2-40B4-BE49-F238E27FC236}">
                <a16:creationId xmlns:a16="http://schemas.microsoft.com/office/drawing/2014/main" id="{00000000-0008-0000-0300-0000A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175" name="Text Box 44">
            <a:extLst>
              <a:ext uri="{FF2B5EF4-FFF2-40B4-BE49-F238E27FC236}">
                <a16:creationId xmlns:a16="http://schemas.microsoft.com/office/drawing/2014/main" id="{00000000-0008-0000-0300-0000AF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12</xdr:col>
      <xdr:colOff>0</xdr:colOff>
      <xdr:row>51</xdr:row>
      <xdr:rowOff>0</xdr:rowOff>
    </xdr:from>
    <xdr:to>
      <xdr:col>14</xdr:col>
      <xdr:colOff>527656</xdr:colOff>
      <xdr:row>56</xdr:row>
      <xdr:rowOff>139451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9533" y="9652000"/>
          <a:ext cx="1746856" cy="986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124189</xdr:colOff>
      <xdr:row>68</xdr:row>
      <xdr:rowOff>153229</xdr:rowOff>
    </xdr:from>
    <xdr:to>
      <xdr:col>5</xdr:col>
      <xdr:colOff>117</xdr:colOff>
      <xdr:row>69</xdr:row>
      <xdr:rowOff>73492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179" y="12824864"/>
          <a:ext cx="1093211" cy="423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549258</xdr:colOff>
      <xdr:row>71</xdr:row>
      <xdr:rowOff>66108</xdr:rowOff>
    </xdr:from>
    <xdr:to>
      <xdr:col>5</xdr:col>
      <xdr:colOff>286697</xdr:colOff>
      <xdr:row>73</xdr:row>
      <xdr:rowOff>92232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7248" y="13573235"/>
          <a:ext cx="959733" cy="35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471897</xdr:colOff>
      <xdr:row>76</xdr:row>
      <xdr:rowOff>7394</xdr:rowOff>
    </xdr:from>
    <xdr:to>
      <xdr:col>5</xdr:col>
      <xdr:colOff>404730</xdr:colOff>
      <xdr:row>79</xdr:row>
      <xdr:rowOff>62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9887" y="14346145"/>
          <a:ext cx="1155127" cy="487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73492</xdr:colOff>
      <xdr:row>67</xdr:row>
      <xdr:rowOff>440953</xdr:rowOff>
    </xdr:from>
    <xdr:to>
      <xdr:col>3</xdr:col>
      <xdr:colOff>259975</xdr:colOff>
      <xdr:row>69</xdr:row>
      <xdr:rowOff>23208</xdr:rowOff>
    </xdr:to>
    <xdr:grpSp>
      <xdr:nvGrpSpPr>
        <xdr:cNvPr id="183" name="104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294854" y="12692400"/>
          <a:ext cx="1602398" cy="598255"/>
          <a:chOff x="3541503" y="12682678"/>
          <a:chExt cx="1435719" cy="708040"/>
        </a:xfrm>
      </xdr:grpSpPr>
      <xdr:pic>
        <xdr:nvPicPr>
          <xdr:cNvPr id="182" name="Picture 18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41503" y="12682678"/>
            <a:ext cx="1435719" cy="7080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77" name="TextBox 176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SpPr txBox="1"/>
        </xdr:nvSpPr>
        <xdr:spPr>
          <a:xfrm>
            <a:off x="3689034" y="12709928"/>
            <a:ext cx="522738" cy="223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80" name="TextBox 179">
            <a:extLst>
              <a:ext uri="{FF2B5EF4-FFF2-40B4-BE49-F238E27FC236}">
                <a16:creationId xmlns:a16="http://schemas.microsoft.com/office/drawing/2014/main" id="{00000000-0008-0000-0300-0000B4000000}"/>
              </a:ext>
            </a:extLst>
          </xdr:cNvPr>
          <xdr:cNvSpPr txBox="1"/>
        </xdr:nvSpPr>
        <xdr:spPr>
          <a:xfrm>
            <a:off x="3791338" y="12980990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 txBox="1"/>
        </xdr:nvSpPr>
        <xdr:spPr>
          <a:xfrm>
            <a:off x="4346714" y="12982747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</xdr:grpSp>
    <xdr:clientData/>
  </xdr:twoCellAnchor>
  <xdr:twoCellAnchor>
    <xdr:from>
      <xdr:col>2</xdr:col>
      <xdr:colOff>77361</xdr:colOff>
      <xdr:row>70</xdr:row>
      <xdr:rowOff>72582</xdr:rowOff>
    </xdr:from>
    <xdr:to>
      <xdr:col>3</xdr:col>
      <xdr:colOff>115188</xdr:colOff>
      <xdr:row>74</xdr:row>
      <xdr:rowOff>61078</xdr:rowOff>
    </xdr:to>
    <xdr:grpSp>
      <xdr:nvGrpSpPr>
        <xdr:cNvPr id="189" name="38B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/>
      </xdr:nvGrpSpPr>
      <xdr:grpSpPr>
        <a:xfrm>
          <a:off x="1298723" y="13539986"/>
          <a:ext cx="1453742" cy="658624"/>
          <a:chOff x="3427066" y="13459800"/>
          <a:chExt cx="1453523" cy="653796"/>
        </a:xfrm>
      </xdr:grpSpPr>
      <xdr:pic>
        <xdr:nvPicPr>
          <xdr:cNvPr id="184" name="Picture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3390" y="13459800"/>
            <a:ext cx="1287199" cy="6382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5" name="TextBox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SpPr txBox="1"/>
        </xdr:nvSpPr>
        <xdr:spPr>
          <a:xfrm>
            <a:off x="3427066" y="13623168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SpPr txBox="1"/>
        </xdr:nvSpPr>
        <xdr:spPr>
          <a:xfrm>
            <a:off x="3728772" y="13793361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SpPr txBox="1"/>
        </xdr:nvSpPr>
        <xdr:spPr>
          <a:xfrm>
            <a:off x="4038214" y="13754680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SpPr txBox="1"/>
        </xdr:nvSpPr>
        <xdr:spPr>
          <a:xfrm>
            <a:off x="4146519" y="13905533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</xdr:grpSp>
    <xdr:clientData/>
  </xdr:twoCellAnchor>
  <xdr:twoCellAnchor>
    <xdr:from>
      <xdr:col>2</xdr:col>
      <xdr:colOff>46157</xdr:colOff>
      <xdr:row>75</xdr:row>
      <xdr:rowOff>92833</xdr:rowOff>
    </xdr:from>
    <xdr:to>
      <xdr:col>3</xdr:col>
      <xdr:colOff>174061</xdr:colOff>
      <xdr:row>80</xdr:row>
      <xdr:rowOff>88963</xdr:rowOff>
    </xdr:to>
    <xdr:grpSp>
      <xdr:nvGrpSpPr>
        <xdr:cNvPr id="199" name="83ST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GrpSpPr/>
      </xdr:nvGrpSpPr>
      <xdr:grpSpPr>
        <a:xfrm>
          <a:off x="1267519" y="14397897"/>
          <a:ext cx="1543819" cy="833789"/>
          <a:chOff x="1531475" y="14381301"/>
          <a:chExt cx="1726945" cy="854832"/>
        </a:xfrm>
      </xdr:grpSpPr>
      <xdr:pic>
        <xdr:nvPicPr>
          <xdr:cNvPr id="191" name="Picture 190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1475" y="14381301"/>
            <a:ext cx="1726945" cy="8548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2" name="TextBox 191">
            <a:extLst>
              <a:ext uri="{FF2B5EF4-FFF2-40B4-BE49-F238E27FC236}">
                <a16:creationId xmlns:a16="http://schemas.microsoft.com/office/drawing/2014/main" id="{00000000-0008-0000-0300-0000C0000000}"/>
              </a:ext>
            </a:extLst>
          </xdr:cNvPr>
          <xdr:cNvSpPr txBox="1"/>
        </xdr:nvSpPr>
        <xdr:spPr>
          <a:xfrm rot="340008">
            <a:off x="2177695" y="1439290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SpPr txBox="1"/>
        </xdr:nvSpPr>
        <xdr:spPr>
          <a:xfrm>
            <a:off x="1790893" y="14938295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300-0000C2000000}"/>
              </a:ext>
            </a:extLst>
          </xdr:cNvPr>
          <xdr:cNvSpPr txBox="1"/>
        </xdr:nvSpPr>
        <xdr:spPr>
          <a:xfrm>
            <a:off x="1610133" y="14636336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97" name="TextBox 196">
            <a:extLst>
              <a:ext uri="{FF2B5EF4-FFF2-40B4-BE49-F238E27FC236}">
                <a16:creationId xmlns:a16="http://schemas.microsoft.com/office/drawing/2014/main" id="{00000000-0008-0000-0300-0000C5000000}"/>
              </a:ext>
            </a:extLst>
          </xdr:cNvPr>
          <xdr:cNvSpPr txBox="1"/>
        </xdr:nvSpPr>
        <xdr:spPr>
          <a:xfrm>
            <a:off x="2233151" y="14659797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198" name="TextBox 197">
            <a:extLst>
              <a:ext uri="{FF2B5EF4-FFF2-40B4-BE49-F238E27FC236}">
                <a16:creationId xmlns:a16="http://schemas.microsoft.com/office/drawing/2014/main" id="{00000000-0008-0000-0300-0000C6000000}"/>
              </a:ext>
            </a:extLst>
          </xdr:cNvPr>
          <xdr:cNvSpPr txBox="1"/>
        </xdr:nvSpPr>
        <xdr:spPr>
          <a:xfrm>
            <a:off x="2680538" y="1480291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 editAs="oneCell">
    <xdr:from>
      <xdr:col>3</xdr:col>
      <xdr:colOff>463825</xdr:colOff>
      <xdr:row>81</xdr:row>
      <xdr:rowOff>145774</xdr:rowOff>
    </xdr:from>
    <xdr:to>
      <xdr:col>5</xdr:col>
      <xdr:colOff>151405</xdr:colOff>
      <xdr:row>84</xdr:row>
      <xdr:rowOff>117281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008" y="15266504"/>
          <a:ext cx="906780" cy="468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425671</xdr:colOff>
      <xdr:row>82</xdr:row>
      <xdr:rowOff>84083</xdr:rowOff>
    </xdr:from>
    <xdr:to>
      <xdr:col>3</xdr:col>
      <xdr:colOff>170329</xdr:colOff>
      <xdr:row>86</xdr:row>
      <xdr:rowOff>80682</xdr:rowOff>
    </xdr:to>
    <xdr:grpSp>
      <xdr:nvGrpSpPr>
        <xdr:cNvPr id="201" name="38D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GrpSpPr/>
      </xdr:nvGrpSpPr>
      <xdr:grpSpPr>
        <a:xfrm>
          <a:off x="1036352" y="15561870"/>
          <a:ext cx="1771254" cy="666727"/>
          <a:chOff x="1035270" y="15565821"/>
          <a:chExt cx="1720460" cy="934182"/>
        </a:xfrm>
      </xdr:grpSpPr>
      <xdr:pic>
        <xdr:nvPicPr>
          <xdr:cNvPr id="190" name="Picture 189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300-0000C3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300-0000C4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00000000-0008-0000-0300-0000C8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</xdr:grpSp>
    <xdr:clientData/>
  </xdr:twoCellAnchor>
  <xdr:twoCellAnchor editAs="oneCell">
    <xdr:from>
      <xdr:col>4</xdr:col>
      <xdr:colOff>140576</xdr:colOff>
      <xdr:row>90</xdr:row>
      <xdr:rowOff>82768</xdr:rowOff>
    </xdr:from>
    <xdr:to>
      <xdr:col>6</xdr:col>
      <xdr:colOff>277048</xdr:colOff>
      <xdr:row>94</xdr:row>
      <xdr:rowOff>101752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92214" y="17135802"/>
          <a:ext cx="1358300" cy="702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595807</xdr:colOff>
      <xdr:row>89</xdr:row>
      <xdr:rowOff>54983</xdr:rowOff>
    </xdr:from>
    <xdr:to>
      <xdr:col>3</xdr:col>
      <xdr:colOff>301123</xdr:colOff>
      <xdr:row>94</xdr:row>
      <xdr:rowOff>100372</xdr:rowOff>
    </xdr:to>
    <xdr:grpSp>
      <xdr:nvGrpSpPr>
        <xdr:cNvPr id="212" name="107SL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GrpSpPr/>
      </xdr:nvGrpSpPr>
      <xdr:grpSpPr>
        <a:xfrm>
          <a:off x="1206488" y="16705494"/>
          <a:ext cx="1731912" cy="883048"/>
          <a:chOff x="1205407" y="16606107"/>
          <a:chExt cx="1732478" cy="879960"/>
        </a:xfrm>
      </xdr:grpSpPr>
      <xdr:pic>
        <xdr:nvPicPr>
          <xdr:cNvPr id="203" name="Picture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5407" y="16623381"/>
            <a:ext cx="1732478" cy="8626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4" name="Picture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1" r="40326" b="4130"/>
          <a:stretch/>
        </xdr:blipFill>
        <xdr:spPr>
          <a:xfrm>
            <a:off x="1622541" y="17196128"/>
            <a:ext cx="232410" cy="237886"/>
          </a:xfrm>
          <a:prstGeom prst="rect">
            <a:avLst/>
          </a:prstGeom>
        </xdr:spPr>
      </xdr:pic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t="1" r="44687" b="-4692"/>
          <a:stretch/>
        </xdr:blipFill>
        <xdr:spPr>
          <a:xfrm>
            <a:off x="2238375" y="16976392"/>
            <a:ext cx="146685" cy="155485"/>
          </a:xfrm>
          <a:prstGeom prst="rect">
            <a:avLst/>
          </a:prstGeom>
        </xdr:spPr>
      </xdr:pic>
      <xdr:sp macro="" textlink="">
        <xdr:nvSpPr>
          <xdr:cNvPr id="206" name="TextBox 205">
            <a:extLst>
              <a:ext uri="{FF2B5EF4-FFF2-40B4-BE49-F238E27FC236}">
                <a16:creationId xmlns:a16="http://schemas.microsoft.com/office/drawing/2014/main" id="{00000000-0008-0000-0300-0000CE000000}"/>
              </a:ext>
            </a:extLst>
          </xdr:cNvPr>
          <xdr:cNvSpPr txBox="1"/>
        </xdr:nvSpPr>
        <xdr:spPr>
          <a:xfrm>
            <a:off x="1336071" y="17039222"/>
            <a:ext cx="373951" cy="2009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00000000-0008-0000-0300-0000CF000000}"/>
              </a:ext>
            </a:extLst>
          </xdr:cNvPr>
          <xdr:cNvSpPr txBox="1"/>
        </xdr:nvSpPr>
        <xdr:spPr>
          <a:xfrm>
            <a:off x="1443592" y="16825558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00000000-0008-0000-0300-0000D0000000}"/>
              </a:ext>
            </a:extLst>
          </xdr:cNvPr>
          <xdr:cNvSpPr txBox="1"/>
        </xdr:nvSpPr>
        <xdr:spPr>
          <a:xfrm>
            <a:off x="1775506" y="16903650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300-0000D1000000}"/>
              </a:ext>
            </a:extLst>
          </xdr:cNvPr>
          <xdr:cNvSpPr txBox="1"/>
        </xdr:nvSpPr>
        <xdr:spPr>
          <a:xfrm>
            <a:off x="1898878" y="16710126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00000000-0008-0000-0300-0000D2000000}"/>
              </a:ext>
            </a:extLst>
          </xdr:cNvPr>
          <xdr:cNvSpPr txBox="1"/>
        </xdr:nvSpPr>
        <xdr:spPr>
          <a:xfrm>
            <a:off x="2237544" y="16606107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SpPr txBox="1"/>
        </xdr:nvSpPr>
        <xdr:spPr>
          <a:xfrm>
            <a:off x="2457678" y="16872202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{F}</a:t>
            </a:r>
          </a:p>
        </xdr:txBody>
      </xdr:sp>
    </xdr:grpSp>
    <xdr:clientData/>
  </xdr:twoCellAnchor>
  <xdr:twoCellAnchor editAs="oneCell">
    <xdr:from>
      <xdr:col>4</xdr:col>
      <xdr:colOff>270868</xdr:colOff>
      <xdr:row>98</xdr:row>
      <xdr:rowOff>26528</xdr:rowOff>
    </xdr:from>
    <xdr:to>
      <xdr:col>6</xdr:col>
      <xdr:colOff>459887</xdr:colOff>
      <xdr:row>102</xdr:row>
      <xdr:rowOff>77576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983" y="18277053"/>
          <a:ext cx="1413215" cy="7256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295557</xdr:colOff>
      <xdr:row>105</xdr:row>
      <xdr:rowOff>95782</xdr:rowOff>
    </xdr:from>
    <xdr:to>
      <xdr:col>5</xdr:col>
      <xdr:colOff>595235</xdr:colOff>
      <xdr:row>108</xdr:row>
      <xdr:rowOff>60222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9672" y="19526782"/>
          <a:ext cx="911776" cy="470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336871</xdr:colOff>
      <xdr:row>93</xdr:row>
      <xdr:rowOff>62205</xdr:rowOff>
    </xdr:from>
    <xdr:to>
      <xdr:col>9</xdr:col>
      <xdr:colOff>99900</xdr:colOff>
      <xdr:row>94</xdr:row>
      <xdr:rowOff>96000</xdr:rowOff>
    </xdr:to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 txBox="1"/>
      </xdr:nvSpPr>
      <xdr:spPr>
        <a:xfrm>
          <a:off x="6033728" y="17220164"/>
          <a:ext cx="374703" cy="199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1</xdr:col>
      <xdr:colOff>498804</xdr:colOff>
      <xdr:row>98</xdr:row>
      <xdr:rowOff>152399</xdr:rowOff>
    </xdr:from>
    <xdr:to>
      <xdr:col>3</xdr:col>
      <xdr:colOff>437957</xdr:colOff>
      <xdr:row>102</xdr:row>
      <xdr:rowOff>23392</xdr:rowOff>
    </xdr:to>
    <xdr:grpSp>
      <xdr:nvGrpSpPr>
        <xdr:cNvPr id="226" name="41LJ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GrpSpPr/>
      </xdr:nvGrpSpPr>
      <xdr:grpSpPr>
        <a:xfrm>
          <a:off x="1109485" y="18310697"/>
          <a:ext cx="1965749" cy="541121"/>
          <a:chOff x="5690593" y="17954120"/>
          <a:chExt cx="1961571" cy="980140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300-0000D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0593" y="17954120"/>
            <a:ext cx="1961571" cy="97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4" name="Picture 213">
            <a:extLst>
              <a:ext uri="{FF2B5EF4-FFF2-40B4-BE49-F238E27FC236}">
                <a16:creationId xmlns:a16="http://schemas.microsoft.com/office/drawing/2014/main" id="{00000000-0008-0000-0300-0000D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375" t="13363" r="62813" b="56394"/>
          <a:stretch/>
        </xdr:blipFill>
        <xdr:spPr bwMode="auto">
          <a:xfrm>
            <a:off x="6011220" y="18103060"/>
            <a:ext cx="466573" cy="2321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6" name="Picture 215">
            <a:extLst>
              <a:ext uri="{FF2B5EF4-FFF2-40B4-BE49-F238E27FC236}">
                <a16:creationId xmlns:a16="http://schemas.microsoft.com/office/drawing/2014/main" id="{00000000-0008-0000-0300-0000D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9156" t="14949" r="20303" b="55512"/>
          <a:stretch/>
        </xdr:blipFill>
        <xdr:spPr bwMode="auto">
          <a:xfrm>
            <a:off x="6996756" y="18150646"/>
            <a:ext cx="289365" cy="2120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00000000-0008-0000-0300-0000DA000000}"/>
              </a:ext>
            </a:extLst>
          </xdr:cNvPr>
          <xdr:cNvSpPr txBox="1"/>
        </xdr:nvSpPr>
        <xdr:spPr>
          <a:xfrm>
            <a:off x="5749351" y="18731954"/>
            <a:ext cx="374635" cy="2023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SpPr txBox="1"/>
        </xdr:nvSpPr>
        <xdr:spPr>
          <a:xfrm>
            <a:off x="5952495" y="18454273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00000000-0008-0000-0300-0000DE000000}"/>
              </a:ext>
            </a:extLst>
          </xdr:cNvPr>
          <xdr:cNvSpPr txBox="1"/>
        </xdr:nvSpPr>
        <xdr:spPr>
          <a:xfrm>
            <a:off x="6469849" y="18337852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300-0000DF000000}"/>
              </a:ext>
            </a:extLst>
          </xdr:cNvPr>
          <xdr:cNvSpPr txBox="1"/>
        </xdr:nvSpPr>
        <xdr:spPr>
          <a:xfrm>
            <a:off x="7085071" y="18439653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24" name="TextBox 223">
            <a:extLst>
              <a:ext uri="{FF2B5EF4-FFF2-40B4-BE49-F238E27FC236}">
                <a16:creationId xmlns:a16="http://schemas.microsoft.com/office/drawing/2014/main" id="{00000000-0008-0000-0300-0000E0000000}"/>
              </a:ext>
            </a:extLst>
          </xdr:cNvPr>
          <xdr:cNvSpPr txBox="1"/>
        </xdr:nvSpPr>
        <xdr:spPr>
          <a:xfrm>
            <a:off x="7250505" y="18716915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>
    <xdr:from>
      <xdr:col>3</xdr:col>
      <xdr:colOff>112689</xdr:colOff>
      <xdr:row>104</xdr:row>
      <xdr:rowOff>46106</xdr:rowOff>
    </xdr:from>
    <xdr:to>
      <xdr:col>3</xdr:col>
      <xdr:colOff>512470</xdr:colOff>
      <xdr:row>105</xdr:row>
      <xdr:rowOff>67078</xdr:rowOff>
    </xdr:to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 txBox="1"/>
      </xdr:nvSpPr>
      <xdr:spPr>
        <a:xfrm>
          <a:off x="2747492" y="19074641"/>
          <a:ext cx="399781" cy="187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2</xdr:col>
      <xdr:colOff>85746</xdr:colOff>
      <xdr:row>105</xdr:row>
      <xdr:rowOff>43859</xdr:rowOff>
    </xdr:from>
    <xdr:to>
      <xdr:col>3</xdr:col>
      <xdr:colOff>4768</xdr:colOff>
      <xdr:row>109</xdr:row>
      <xdr:rowOff>18196</xdr:rowOff>
    </xdr:to>
    <xdr:grpSp>
      <xdr:nvGrpSpPr>
        <xdr:cNvPr id="237" name="511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GrpSpPr/>
      </xdr:nvGrpSpPr>
      <xdr:grpSpPr>
        <a:xfrm>
          <a:off x="1307108" y="19374880"/>
          <a:ext cx="1334937" cy="644465"/>
          <a:chOff x="1379523" y="19107859"/>
          <a:chExt cx="1337919" cy="644897"/>
        </a:xfrm>
      </xdr:grpSpPr>
      <xdr:pic>
        <xdr:nvPicPr>
          <xdr:cNvPr id="227" name="Picture 226">
            <a:extLst>
              <a:ext uri="{FF2B5EF4-FFF2-40B4-BE49-F238E27FC236}">
                <a16:creationId xmlns:a16="http://schemas.microsoft.com/office/drawing/2014/main" id="{00000000-0008-0000-0300-0000E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482" y="19107859"/>
            <a:ext cx="1288960" cy="6448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300-0000E5000000}"/>
              </a:ext>
            </a:extLst>
          </xdr:cNvPr>
          <xdr:cNvSpPr txBox="1"/>
        </xdr:nvSpPr>
        <xdr:spPr>
          <a:xfrm>
            <a:off x="1525073" y="19191560"/>
            <a:ext cx="32465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00000000-0008-0000-0300-0000E6000000}"/>
              </a:ext>
            </a:extLst>
          </xdr:cNvPr>
          <xdr:cNvSpPr txBox="1"/>
        </xdr:nvSpPr>
        <xdr:spPr>
          <a:xfrm>
            <a:off x="1796066" y="19317666"/>
            <a:ext cx="338070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 baseline="0"/>
              <a:t> </a:t>
            </a:r>
            <a:r>
              <a:rPr lang="en-IN" sz="600"/>
              <a:t>{B}</a:t>
            </a:r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00000000-0008-0000-0300-0000E7000000}"/>
              </a:ext>
            </a:extLst>
          </xdr:cNvPr>
          <xdr:cNvSpPr txBox="1"/>
        </xdr:nvSpPr>
        <xdr:spPr>
          <a:xfrm>
            <a:off x="1930221" y="19516108"/>
            <a:ext cx="324656" cy="139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300-0000E8000000}"/>
              </a:ext>
            </a:extLst>
          </xdr:cNvPr>
          <xdr:cNvSpPr txBox="1"/>
        </xdr:nvSpPr>
        <xdr:spPr>
          <a:xfrm>
            <a:off x="2160967" y="19306934"/>
            <a:ext cx="25489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SpPr txBox="1"/>
        </xdr:nvSpPr>
        <xdr:spPr>
          <a:xfrm>
            <a:off x="2336527" y="19553699"/>
            <a:ext cx="326260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34" name="TextBox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SpPr txBox="1"/>
        </xdr:nvSpPr>
        <xdr:spPr>
          <a:xfrm>
            <a:off x="1436530" y="19553671"/>
            <a:ext cx="324656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488132" y="19234783"/>
            <a:ext cx="166484" cy="323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6" name="Picture 235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1379523" y="19336350"/>
            <a:ext cx="166484" cy="2679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4</xdr:col>
      <xdr:colOff>243590</xdr:colOff>
      <xdr:row>111</xdr:row>
      <xdr:rowOff>68705</xdr:rowOff>
    </xdr:from>
    <xdr:to>
      <xdr:col>7</xdr:col>
      <xdr:colOff>74403</xdr:colOff>
      <xdr:row>116</xdr:row>
      <xdr:rowOff>92404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497705" y="20511541"/>
          <a:ext cx="1667108" cy="866896"/>
        </a:xfrm>
        <a:prstGeom prst="rect">
          <a:avLst/>
        </a:prstGeom>
      </xdr:spPr>
    </xdr:pic>
    <xdr:clientData/>
  </xdr:twoCellAnchor>
  <xdr:twoCellAnchor editAs="oneCell">
    <xdr:from>
      <xdr:col>4</xdr:col>
      <xdr:colOff>337274</xdr:colOff>
      <xdr:row>121</xdr:row>
      <xdr:rowOff>0</xdr:rowOff>
    </xdr:from>
    <xdr:to>
      <xdr:col>6</xdr:col>
      <xdr:colOff>437238</xdr:colOff>
      <xdr:row>124</xdr:row>
      <xdr:rowOff>113293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591389" y="22129230"/>
          <a:ext cx="1324160" cy="619211"/>
        </a:xfrm>
        <a:prstGeom prst="rect">
          <a:avLst/>
        </a:prstGeom>
      </xdr:spPr>
    </xdr:pic>
    <xdr:clientData/>
  </xdr:twoCellAnchor>
  <xdr:twoCellAnchor editAs="oneCell">
    <xdr:from>
      <xdr:col>4</xdr:col>
      <xdr:colOff>431333</xdr:colOff>
      <xdr:row>128</xdr:row>
      <xdr:rowOff>0</xdr:rowOff>
    </xdr:from>
    <xdr:to>
      <xdr:col>7</xdr:col>
      <xdr:colOff>214514</xdr:colOff>
      <xdr:row>132</xdr:row>
      <xdr:rowOff>78023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681890" y="23123646"/>
          <a:ext cx="1615839" cy="74678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7</xdr:col>
      <xdr:colOff>376226</xdr:colOff>
      <xdr:row>141</xdr:row>
      <xdr:rowOff>154234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866213" y="24827459"/>
          <a:ext cx="1600423" cy="828791"/>
        </a:xfrm>
        <a:prstGeom prst="rect">
          <a:avLst/>
        </a:prstGeom>
      </xdr:spPr>
    </xdr:pic>
    <xdr:clientData/>
  </xdr:twoCellAnchor>
  <xdr:twoCellAnchor>
    <xdr:from>
      <xdr:col>2</xdr:col>
      <xdr:colOff>187904</xdr:colOff>
      <xdr:row>137</xdr:row>
      <xdr:rowOff>99934</xdr:rowOff>
    </xdr:from>
    <xdr:to>
      <xdr:col>2</xdr:col>
      <xdr:colOff>1228202</xdr:colOff>
      <xdr:row>140</xdr:row>
      <xdr:rowOff>118962</xdr:rowOff>
    </xdr:to>
    <xdr:grpSp>
      <xdr:nvGrpSpPr>
        <xdr:cNvPr id="213" name="10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GrpSpPr/>
      </xdr:nvGrpSpPr>
      <xdr:grpSpPr>
        <a:xfrm>
          <a:off x="1409266" y="24791977"/>
          <a:ext cx="1040298" cy="521623"/>
          <a:chOff x="1480751" y="20354531"/>
          <a:chExt cx="897530" cy="465949"/>
        </a:xfrm>
      </xdr:grpSpPr>
      <xdr:pic>
        <xdr:nvPicPr>
          <xdr:cNvPr id="241" name="Picture 240">
            <a:extLst>
              <a:ext uri="{FF2B5EF4-FFF2-40B4-BE49-F238E27FC236}">
                <a16:creationId xmlns:a16="http://schemas.microsoft.com/office/drawing/2014/main" id="{00000000-0008-0000-0300-0000F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2" name="TextBox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4" name="TextBox 243">
            <a:extLst>
              <a:ext uri="{FF2B5EF4-FFF2-40B4-BE49-F238E27FC236}">
                <a16:creationId xmlns:a16="http://schemas.microsoft.com/office/drawing/2014/main" id="{00000000-0008-0000-0300-0000F4000000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395469</xdr:colOff>
      <xdr:row>121</xdr:row>
      <xdr:rowOff>93241</xdr:rowOff>
    </xdr:from>
    <xdr:to>
      <xdr:col>2</xdr:col>
      <xdr:colOff>1246912</xdr:colOff>
      <xdr:row>123</xdr:row>
      <xdr:rowOff>119009</xdr:rowOff>
    </xdr:to>
    <xdr:grpSp>
      <xdr:nvGrpSpPr>
        <xdr:cNvPr id="245" name="33N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GrpSpPr/>
      </xdr:nvGrpSpPr>
      <xdr:grpSpPr>
        <a:xfrm>
          <a:off x="1616831" y="22104773"/>
          <a:ext cx="851443" cy="360832"/>
          <a:chOff x="1557101" y="21250387"/>
          <a:chExt cx="851443" cy="360148"/>
        </a:xfrm>
      </xdr:grpSpPr>
      <xdr:pic>
        <xdr:nvPicPr>
          <xdr:cNvPr id="246" name="Picture 245">
            <a:extLst>
              <a:ext uri="{FF2B5EF4-FFF2-40B4-BE49-F238E27FC236}">
                <a16:creationId xmlns:a16="http://schemas.microsoft.com/office/drawing/2014/main" id="{00000000-0008-0000-0300-0000F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300-0000F7000000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131822</xdr:colOff>
      <xdr:row>128</xdr:row>
      <xdr:rowOff>144682</xdr:rowOff>
    </xdr:from>
    <xdr:to>
      <xdr:col>3</xdr:col>
      <xdr:colOff>180155</xdr:colOff>
      <xdr:row>132</xdr:row>
      <xdr:rowOff>157485</xdr:rowOff>
    </xdr:to>
    <xdr:grpSp>
      <xdr:nvGrpSpPr>
        <xdr:cNvPr id="256" name="101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1353184" y="23328937"/>
          <a:ext cx="1464248" cy="682931"/>
          <a:chOff x="1372886" y="23216885"/>
          <a:chExt cx="1466232" cy="681562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3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300-0000FB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300-0000FC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53" name="TextBox 252">
            <a:extLst>
              <a:ext uri="{FF2B5EF4-FFF2-40B4-BE49-F238E27FC236}">
                <a16:creationId xmlns:a16="http://schemas.microsoft.com/office/drawing/2014/main" id="{00000000-0008-0000-0300-0000FD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54" name="TextBox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1</xdr:col>
      <xdr:colOff>504785</xdr:colOff>
      <xdr:row>111</xdr:row>
      <xdr:rowOff>115746</xdr:rowOff>
    </xdr:from>
    <xdr:to>
      <xdr:col>2</xdr:col>
      <xdr:colOff>1330527</xdr:colOff>
      <xdr:row>116</xdr:row>
      <xdr:rowOff>75761</xdr:rowOff>
    </xdr:to>
    <xdr:grpSp>
      <xdr:nvGrpSpPr>
        <xdr:cNvPr id="267" name="212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GrpSpPr/>
      </xdr:nvGrpSpPr>
      <xdr:grpSpPr>
        <a:xfrm>
          <a:off x="1115466" y="20451959"/>
          <a:ext cx="1436423" cy="797674"/>
          <a:chOff x="1114385" y="20561839"/>
          <a:chExt cx="1435342" cy="803658"/>
        </a:xfrm>
      </xdr:grpSpPr>
      <xdr:pic>
        <xdr:nvPicPr>
          <xdr:cNvPr id="258" name="Picture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62" name="TextBox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00000000-0008-0000-0300-000007010000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300-000008010000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300-000009010000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300-00000A010000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{G}</a:t>
            </a:r>
          </a:p>
        </xdr:txBody>
      </xdr:sp>
    </xdr:grpSp>
    <xdr:clientData/>
  </xdr:twoCellAnchor>
  <xdr:twoCellAnchor editAs="oneCell">
    <xdr:from>
      <xdr:col>5</xdr:col>
      <xdr:colOff>341925</xdr:colOff>
      <xdr:row>147</xdr:row>
      <xdr:rowOff>0</xdr:rowOff>
    </xdr:from>
    <xdr:to>
      <xdr:col>8</xdr:col>
      <xdr:colOff>58587</xdr:colOff>
      <xdr:row>151</xdr:row>
      <xdr:rowOff>135904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181233" y="26132692"/>
          <a:ext cx="1533739" cy="800212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147</xdr:row>
      <xdr:rowOff>165751</xdr:rowOff>
    </xdr:from>
    <xdr:to>
      <xdr:col>3</xdr:col>
      <xdr:colOff>467794</xdr:colOff>
      <xdr:row>152</xdr:row>
      <xdr:rowOff>59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24025" y="27073876"/>
          <a:ext cx="1382194" cy="682501"/>
        </a:xfrm>
        <a:prstGeom prst="rect">
          <a:avLst/>
        </a:prstGeom>
      </xdr:spPr>
    </xdr:pic>
    <xdr:clientData/>
  </xdr:twoCellAnchor>
  <xdr:twoCellAnchor>
    <xdr:from>
      <xdr:col>2</xdr:col>
      <xdr:colOff>942258</xdr:colOff>
      <xdr:row>151</xdr:row>
      <xdr:rowOff>24580</xdr:rowOff>
    </xdr:from>
    <xdr:to>
      <xdr:col>2</xdr:col>
      <xdr:colOff>1317996</xdr:colOff>
      <xdr:row>152</xdr:row>
      <xdr:rowOff>13835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 txBox="1"/>
      </xdr:nvSpPr>
      <xdr:spPr>
        <a:xfrm>
          <a:off x="2163097" y="27108354"/>
          <a:ext cx="375738" cy="1572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IN" sz="800"/>
            <a:t>{B}</a:t>
          </a:r>
        </a:p>
      </xdr:txBody>
    </xdr:sp>
    <xdr:clientData/>
  </xdr:twoCellAnchor>
  <xdr:twoCellAnchor>
    <xdr:from>
      <xdr:col>2</xdr:col>
      <xdr:colOff>303161</xdr:colOff>
      <xdr:row>148</xdr:row>
      <xdr:rowOff>1880</xdr:rowOff>
    </xdr:from>
    <xdr:to>
      <xdr:col>4</xdr:col>
      <xdr:colOff>80771</xdr:colOff>
      <xdr:row>151</xdr:row>
      <xdr:rowOff>166549</xdr:rowOff>
    </xdr:to>
    <xdr:grpSp>
      <xdr:nvGrpSpPr>
        <xdr:cNvPr id="283" name="37HT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GrpSpPr/>
      </xdr:nvGrpSpPr>
      <xdr:grpSpPr>
        <a:xfrm>
          <a:off x="1524523" y="26536774"/>
          <a:ext cx="1804205" cy="667264"/>
          <a:chOff x="1524000" y="26581751"/>
          <a:chExt cx="1805513" cy="668572"/>
        </a:xfrm>
      </xdr:grpSpPr>
      <xdr:pic>
        <xdr:nvPicPr>
          <xdr:cNvPr id="281" name="Pictur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80" name="TextBox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  <a:endParaRPr lang="en-IN" sz="600"/>
          </a:p>
        </xdr:txBody>
      </xdr: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5</xdr:col>
      <xdr:colOff>554182</xdr:colOff>
      <xdr:row>157</xdr:row>
      <xdr:rowOff>169332</xdr:rowOff>
    </xdr:from>
    <xdr:to>
      <xdr:col>8</xdr:col>
      <xdr:colOff>213029</xdr:colOff>
      <xdr:row>163</xdr:row>
      <xdr:rowOff>873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402667" y="28478787"/>
          <a:ext cx="1483029" cy="847541"/>
        </a:xfrm>
        <a:prstGeom prst="rect">
          <a:avLst/>
        </a:prstGeom>
      </xdr:spPr>
    </xdr:pic>
    <xdr:clientData/>
  </xdr:twoCellAnchor>
  <xdr:twoCellAnchor>
    <xdr:from>
      <xdr:col>2</xdr:col>
      <xdr:colOff>944218</xdr:colOff>
      <xdr:row>158</xdr:row>
      <xdr:rowOff>8965</xdr:rowOff>
    </xdr:from>
    <xdr:to>
      <xdr:col>4</xdr:col>
      <xdr:colOff>197223</xdr:colOff>
      <xdr:row>162</xdr:row>
      <xdr:rowOff>99227</xdr:rowOff>
    </xdr:to>
    <xdr:grpSp>
      <xdr:nvGrpSpPr>
        <xdr:cNvPr id="274" name="61D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GrpSpPr/>
      </xdr:nvGrpSpPr>
      <xdr:grpSpPr>
        <a:xfrm>
          <a:off x="2165580" y="28219178"/>
          <a:ext cx="1279600" cy="760389"/>
          <a:chOff x="2161761" y="27670595"/>
          <a:chExt cx="2766707" cy="1719855"/>
        </a:xfrm>
      </xdr:grpSpPr>
      <xdr:pic>
        <xdr:nvPicPr>
          <xdr:cNvPr id="269" name="Picture 268">
            <a:extLst>
              <a:ext uri="{FF2B5EF4-FFF2-40B4-BE49-F238E27FC236}">
                <a16:creationId xmlns:a16="http://schemas.microsoft.com/office/drawing/2014/main" id="{00000000-0008-0000-0300-00000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70" name="TextBox 269">
            <a:extLst>
              <a:ext uri="{FF2B5EF4-FFF2-40B4-BE49-F238E27FC236}">
                <a16:creationId xmlns:a16="http://schemas.microsoft.com/office/drawing/2014/main" id="{00000000-0008-0000-0300-00000E01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71" name="TextBox 270">
            <a:extLst>
              <a:ext uri="{FF2B5EF4-FFF2-40B4-BE49-F238E27FC236}">
                <a16:creationId xmlns:a16="http://schemas.microsoft.com/office/drawing/2014/main" id="{00000000-0008-0000-0300-00000F01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00000000-0008-0000-0300-00001001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73" name="TextBox 272">
            <a:extLst>
              <a:ext uri="{FF2B5EF4-FFF2-40B4-BE49-F238E27FC236}">
                <a16:creationId xmlns:a16="http://schemas.microsoft.com/office/drawing/2014/main" id="{00000000-0008-0000-0300-00001101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{E}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300-00000C01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26894</xdr:colOff>
      <xdr:row>168</xdr:row>
      <xdr:rowOff>107577</xdr:rowOff>
    </xdr:from>
    <xdr:to>
      <xdr:col>8</xdr:col>
      <xdr:colOff>331907</xdr:colOff>
      <xdr:row>173</xdr:row>
      <xdr:rowOff>65668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91318" y="30426212"/>
          <a:ext cx="1524213" cy="809738"/>
        </a:xfrm>
        <a:prstGeom prst="rect">
          <a:avLst/>
        </a:prstGeom>
      </xdr:spPr>
    </xdr:pic>
    <xdr:clientData/>
  </xdr:twoCellAnchor>
  <xdr:twoCellAnchor>
    <xdr:from>
      <xdr:col>2</xdr:col>
      <xdr:colOff>622662</xdr:colOff>
      <xdr:row>168</xdr:row>
      <xdr:rowOff>108858</xdr:rowOff>
    </xdr:from>
    <xdr:to>
      <xdr:col>3</xdr:col>
      <xdr:colOff>566056</xdr:colOff>
      <xdr:row>172</xdr:row>
      <xdr:rowOff>126273</xdr:rowOff>
    </xdr:to>
    <xdr:grpSp>
      <xdr:nvGrpSpPr>
        <xdr:cNvPr id="289" name="38h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GrpSpPr/>
      </xdr:nvGrpSpPr>
      <xdr:grpSpPr>
        <a:xfrm>
          <a:off x="1844024" y="29994390"/>
          <a:ext cx="1359309" cy="687543"/>
          <a:chOff x="1841862" y="30371143"/>
          <a:chExt cx="1750845" cy="962765"/>
        </a:xfrm>
      </xdr:grpSpPr>
      <xdr:pic>
        <xdr:nvPicPr>
          <xdr:cNvPr id="284" name="Picture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SpPr txBox="1"/>
        </xdr:nvSpPr>
        <xdr:spPr>
          <a:xfrm>
            <a:off x="1841862" y="30728187"/>
            <a:ext cx="341746" cy="1147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86" name="TextBox 285">
            <a:extLst>
              <a:ext uri="{FF2B5EF4-FFF2-40B4-BE49-F238E27FC236}">
                <a16:creationId xmlns:a16="http://schemas.microsoft.com/office/drawing/2014/main" id="{00000000-0008-0000-0300-00001E010000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87" name="TextBox 286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SpPr txBox="1"/>
        </xdr:nvSpPr>
        <xdr:spPr>
          <a:xfrm>
            <a:off x="3078478" y="30371143"/>
            <a:ext cx="514229" cy="1022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8" name="TextBox 287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SpPr txBox="1"/>
        </xdr:nvSpPr>
        <xdr:spPr>
          <a:xfrm>
            <a:off x="2464524" y="31207162"/>
            <a:ext cx="473715" cy="1267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0</xdr:colOff>
      <xdr:row>180</xdr:row>
      <xdr:rowOff>0</xdr:rowOff>
    </xdr:from>
    <xdr:to>
      <xdr:col>8</xdr:col>
      <xdr:colOff>266907</xdr:colOff>
      <xdr:row>183</xdr:row>
      <xdr:rowOff>53144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463143" y="31165800"/>
          <a:ext cx="1486107" cy="543001"/>
        </a:xfrm>
        <a:prstGeom prst="rect">
          <a:avLst/>
        </a:prstGeom>
      </xdr:spPr>
    </xdr:pic>
    <xdr:clientData/>
  </xdr:twoCellAnchor>
  <xdr:twoCellAnchor>
    <xdr:from>
      <xdr:col>2</xdr:col>
      <xdr:colOff>538239</xdr:colOff>
      <xdr:row>179</xdr:row>
      <xdr:rowOff>0</xdr:rowOff>
    </xdr:from>
    <xdr:to>
      <xdr:col>4</xdr:col>
      <xdr:colOff>143742</xdr:colOff>
      <xdr:row>182</xdr:row>
      <xdr:rowOff>141446</xdr:rowOff>
    </xdr:to>
    <xdr:grpSp>
      <xdr:nvGrpSpPr>
        <xdr:cNvPr id="296" name="20HT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GrpSpPr/>
      </xdr:nvGrpSpPr>
      <xdr:grpSpPr>
        <a:xfrm>
          <a:off x="1759601" y="31728383"/>
          <a:ext cx="1632098" cy="644042"/>
          <a:chOff x="1759858" y="32040286"/>
          <a:chExt cx="1631455" cy="649446"/>
        </a:xfrm>
      </xdr:grpSpPr>
      <xdr:pic>
        <xdr:nvPicPr>
          <xdr:cNvPr id="291" name="Picture 290">
            <a:extLst>
              <a:ext uri="{FF2B5EF4-FFF2-40B4-BE49-F238E27FC236}">
                <a16:creationId xmlns:a16="http://schemas.microsoft.com/office/drawing/2014/main" id="{00000000-0008-0000-0300-00002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293" name="TextBox 292">
            <a:extLst>
              <a:ext uri="{FF2B5EF4-FFF2-40B4-BE49-F238E27FC236}">
                <a16:creationId xmlns:a16="http://schemas.microsoft.com/office/drawing/2014/main" id="{00000000-0008-0000-0300-000025010000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95" name="TextBox 294">
            <a:extLst>
              <a:ext uri="{FF2B5EF4-FFF2-40B4-BE49-F238E27FC236}">
                <a16:creationId xmlns:a16="http://schemas.microsoft.com/office/drawing/2014/main" id="{00000000-0008-0000-0300-000027010000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 editAs="oneCell">
    <xdr:from>
      <xdr:col>5</xdr:col>
      <xdr:colOff>598380</xdr:colOff>
      <xdr:row>188</xdr:row>
      <xdr:rowOff>0</xdr:rowOff>
    </xdr:from>
    <xdr:to>
      <xdr:col>8</xdr:col>
      <xdr:colOff>400452</xdr:colOff>
      <xdr:row>193</xdr:row>
      <xdr:rowOff>35623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445779" y="33373730"/>
          <a:ext cx="1625262" cy="877095"/>
        </a:xfrm>
        <a:prstGeom prst="rect">
          <a:avLst/>
        </a:prstGeom>
      </xdr:spPr>
    </xdr:pic>
    <xdr:clientData/>
  </xdr:twoCellAnchor>
  <xdr:twoCellAnchor>
    <xdr:from>
      <xdr:col>2</xdr:col>
      <xdr:colOff>263053</xdr:colOff>
      <xdr:row>187</xdr:row>
      <xdr:rowOff>68580</xdr:rowOff>
    </xdr:from>
    <xdr:to>
      <xdr:col>4</xdr:col>
      <xdr:colOff>121920</xdr:colOff>
      <xdr:row>191</xdr:row>
      <xdr:rowOff>160020</xdr:rowOff>
    </xdr:to>
    <xdr:grpSp>
      <xdr:nvGrpSpPr>
        <xdr:cNvPr id="315" name="582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GrpSpPr/>
      </xdr:nvGrpSpPr>
      <xdr:grpSpPr>
        <a:xfrm>
          <a:off x="1484415" y="33137218"/>
          <a:ext cx="1885462" cy="761568"/>
          <a:chOff x="1480207" y="33276388"/>
          <a:chExt cx="1880651" cy="924282"/>
        </a:xfrm>
      </xdr:grpSpPr>
      <xdr:grpSp>
        <xdr:nvGrpSpPr>
          <xdr:cNvPr id="314" name="58">
            <a:extLst>
              <a:ext uri="{FF2B5EF4-FFF2-40B4-BE49-F238E27FC236}">
                <a16:creationId xmlns:a16="http://schemas.microsoft.com/office/drawing/2014/main" id="{00000000-0008-0000-0300-00003A010000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292" name="Picture 291">
              <a:extLst>
                <a:ext uri="{FF2B5EF4-FFF2-40B4-BE49-F238E27FC236}">
                  <a16:creationId xmlns:a16="http://schemas.microsoft.com/office/drawing/2014/main" id="{00000000-0008-0000-0300-00002401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300-000032010000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  <xdr:sp macro="" textlink="">
          <xdr:nvSpPr>
            <xdr:cNvPr id="307" name="TextBox 306">
              <a:extLst>
                <a:ext uri="{FF2B5EF4-FFF2-40B4-BE49-F238E27FC236}">
                  <a16:creationId xmlns:a16="http://schemas.microsoft.com/office/drawing/2014/main" id="{00000000-0008-0000-0300-000033010000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10" name="TextBox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{C}</a:t>
              </a:r>
            </a:p>
          </xdr:txBody>
        </xdr:sp>
        <xdr:sp macro="" textlink="">
          <xdr:nvSpPr>
            <xdr:cNvPr id="311" name="TextBox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{D}</a:t>
              </a:r>
            </a:p>
          </xdr:txBody>
        </xdr:sp>
        <xdr:sp macro="" textlink="">
          <xdr:nvSpPr>
            <xdr:cNvPr id="312" name="TextBox 311">
              <a:extLst>
                <a:ext uri="{FF2B5EF4-FFF2-40B4-BE49-F238E27FC236}">
                  <a16:creationId xmlns:a16="http://schemas.microsoft.com/office/drawing/2014/main" id="{00000000-0008-0000-0300-000038010000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{E}</a:t>
              </a:r>
            </a:p>
          </xdr:txBody>
        </xdr:sp>
        <xdr:sp macro="" textlink="">
          <xdr:nvSpPr>
            <xdr:cNvPr id="313" name="TextBox 312">
              <a:extLst>
                <a:ext uri="{FF2B5EF4-FFF2-40B4-BE49-F238E27FC236}">
                  <a16:creationId xmlns:a16="http://schemas.microsoft.com/office/drawing/2014/main" id="{00000000-0008-0000-0300-000039010000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{G}</a:t>
              </a:r>
            </a:p>
          </xdr:txBody>
        </xdr:sp>
      </xdr:grpSp>
      <xdr:cxnSp macro="">
        <xdr:nvCxnSpPr>
          <xdr:cNvPr id="298" name="Straight Connector 297">
            <a:extLst>
              <a:ext uri="{FF2B5EF4-FFF2-40B4-BE49-F238E27FC236}">
                <a16:creationId xmlns:a16="http://schemas.microsoft.com/office/drawing/2014/main" id="{00000000-0008-0000-0300-00002A010000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4" name="Straight Connector 303">
            <a:extLst>
              <a:ext uri="{FF2B5EF4-FFF2-40B4-BE49-F238E27FC236}">
                <a16:creationId xmlns:a16="http://schemas.microsoft.com/office/drawing/2014/main" id="{00000000-0008-0000-0300-000030010000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0</xdr:colOff>
      <xdr:row>197</xdr:row>
      <xdr:rowOff>0</xdr:rowOff>
    </xdr:from>
    <xdr:to>
      <xdr:col>8</xdr:col>
      <xdr:colOff>343118</xdr:colOff>
      <xdr:row>201</xdr:row>
      <xdr:rowOff>46668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4461933" y="35085867"/>
          <a:ext cx="1562318" cy="724001"/>
        </a:xfrm>
        <a:prstGeom prst="rect">
          <a:avLst/>
        </a:prstGeom>
      </xdr:spPr>
    </xdr:pic>
    <xdr:clientData/>
  </xdr:twoCellAnchor>
  <xdr:twoCellAnchor>
    <xdr:from>
      <xdr:col>2</xdr:col>
      <xdr:colOff>269487</xdr:colOff>
      <xdr:row>198</xdr:row>
      <xdr:rowOff>102219</xdr:rowOff>
    </xdr:from>
    <xdr:to>
      <xdr:col>4</xdr:col>
      <xdr:colOff>549752</xdr:colOff>
      <xdr:row>203</xdr:row>
      <xdr:rowOff>67818</xdr:rowOff>
    </xdr:to>
    <xdr:grpSp>
      <xdr:nvGrpSpPr>
        <xdr:cNvPr id="303" name="21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GrpSpPr/>
      </xdr:nvGrpSpPr>
      <xdr:grpSpPr>
        <a:xfrm>
          <a:off x="1490849" y="35013708"/>
          <a:ext cx="2306860" cy="803259"/>
          <a:chOff x="1296638" y="34828976"/>
          <a:chExt cx="2502456" cy="944427"/>
        </a:xfrm>
      </xdr:grpSpPr>
      <xdr:pic>
        <xdr:nvPicPr>
          <xdr:cNvPr id="300" name="Picture 299">
            <a:extLst>
              <a:ext uri="{FF2B5EF4-FFF2-40B4-BE49-F238E27FC236}">
                <a16:creationId xmlns:a16="http://schemas.microsoft.com/office/drawing/2014/main" id="{00000000-0008-0000-0300-00002C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05" name="TextBox 304">
            <a:extLst>
              <a:ext uri="{FF2B5EF4-FFF2-40B4-BE49-F238E27FC236}">
                <a16:creationId xmlns:a16="http://schemas.microsoft.com/office/drawing/2014/main" id="{00000000-0008-0000-0300-000031010000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01" name="TextBox 300">
            <a:extLst>
              <a:ext uri="{FF2B5EF4-FFF2-40B4-BE49-F238E27FC236}">
                <a16:creationId xmlns:a16="http://schemas.microsoft.com/office/drawing/2014/main" id="{00000000-0008-0000-0300-00002D010000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02" name="TextBox 301">
            <a:extLst>
              <a:ext uri="{FF2B5EF4-FFF2-40B4-BE49-F238E27FC236}">
                <a16:creationId xmlns:a16="http://schemas.microsoft.com/office/drawing/2014/main" id="{00000000-0008-0000-0300-00002E010000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{C}</a:t>
            </a:r>
          </a:p>
        </xdr:txBody>
      </xdr:sp>
    </xdr:grpSp>
    <xdr:clientData/>
  </xdr:twoCellAnchor>
  <xdr:twoCellAnchor editAs="oneCell">
    <xdr:from>
      <xdr:col>6</xdr:col>
      <xdr:colOff>0</xdr:colOff>
      <xdr:row>205</xdr:row>
      <xdr:rowOff>0</xdr:rowOff>
    </xdr:from>
    <xdr:to>
      <xdr:col>8</xdr:col>
      <xdr:colOff>400276</xdr:colOff>
      <xdr:row>208</xdr:row>
      <xdr:rowOff>110302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B0F39234-6A7B-4365-AA5B-5B699224C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463143" y="35247943"/>
          <a:ext cx="1619476" cy="600159"/>
        </a:xfrm>
        <a:prstGeom prst="rect">
          <a:avLst/>
        </a:prstGeom>
      </xdr:spPr>
    </xdr:pic>
    <xdr:clientData/>
  </xdr:twoCellAnchor>
  <xdr:twoCellAnchor>
    <xdr:from>
      <xdr:col>10</xdr:col>
      <xdr:colOff>97277</xdr:colOff>
      <xdr:row>179</xdr:row>
      <xdr:rowOff>151319</xdr:rowOff>
    </xdr:from>
    <xdr:to>
      <xdr:col>12</xdr:col>
      <xdr:colOff>474440</xdr:colOff>
      <xdr:row>183</xdr:row>
      <xdr:rowOff>125233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2E16AE4F-13A0-4871-BC56-8AADED94A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7009320" y="31879702"/>
          <a:ext cx="1598524" cy="644042"/>
        </a:xfrm>
        <a:prstGeom prst="rect">
          <a:avLst/>
        </a:prstGeom>
      </xdr:spPr>
    </xdr:pic>
    <xdr:clientData/>
  </xdr:twoCellAnchor>
  <xdr:twoCellAnchor>
    <xdr:from>
      <xdr:col>2</xdr:col>
      <xdr:colOff>659318</xdr:colOff>
      <xdr:row>205</xdr:row>
      <xdr:rowOff>97276</xdr:rowOff>
    </xdr:from>
    <xdr:to>
      <xdr:col>4</xdr:col>
      <xdr:colOff>302638</xdr:colOff>
      <xdr:row>209</xdr:row>
      <xdr:rowOff>105972</xdr:rowOff>
    </xdr:to>
    <xdr:grpSp>
      <xdr:nvGrpSpPr>
        <xdr:cNvPr id="317" name="11FT">
          <a:extLst>
            <a:ext uri="{FF2B5EF4-FFF2-40B4-BE49-F238E27FC236}">
              <a16:creationId xmlns:a16="http://schemas.microsoft.com/office/drawing/2014/main" id="{C4073963-6DBD-D1BE-3306-0C6822CB3E46}"/>
            </a:ext>
          </a:extLst>
        </xdr:cNvPr>
        <xdr:cNvGrpSpPr/>
      </xdr:nvGrpSpPr>
      <xdr:grpSpPr>
        <a:xfrm>
          <a:off x="1880680" y="36181489"/>
          <a:ext cx="1669915" cy="678823"/>
          <a:chOff x="1880680" y="36181489"/>
          <a:chExt cx="1669915" cy="678823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8F718D06-59ED-D1CF-FE4E-9C98C98C8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/>
          <a:stretch>
            <a:fillRect/>
          </a:stretch>
        </xdr:blipFill>
        <xdr:spPr>
          <a:xfrm>
            <a:off x="2086716" y="36181489"/>
            <a:ext cx="1463879" cy="595540"/>
          </a:xfrm>
          <a:prstGeom prst="rect">
            <a:avLst/>
          </a:prstGeom>
        </xdr:spPr>
      </xdr:pic>
      <xdr:sp macro="" textlink="">
        <xdr:nvSpPr>
          <xdr:cNvPr id="309" name="TextBox 308">
            <a:extLst>
              <a:ext uri="{FF2B5EF4-FFF2-40B4-BE49-F238E27FC236}">
                <a16:creationId xmlns:a16="http://schemas.microsoft.com/office/drawing/2014/main" id="{742A6196-3CFA-4B03-8AC0-075E94CBFE8C}"/>
              </a:ext>
            </a:extLst>
          </xdr:cNvPr>
          <xdr:cNvSpPr txBox="1"/>
        </xdr:nvSpPr>
        <xdr:spPr>
          <a:xfrm>
            <a:off x="2561615" y="36657063"/>
            <a:ext cx="395763" cy="2032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  <xdr:sp macro="" textlink="">
        <xdr:nvSpPr>
          <xdr:cNvPr id="316" name="TextBox 315">
            <a:extLst>
              <a:ext uri="{FF2B5EF4-FFF2-40B4-BE49-F238E27FC236}">
                <a16:creationId xmlns:a16="http://schemas.microsoft.com/office/drawing/2014/main" id="{F9354278-C85D-4F67-04E7-C00651E94100}"/>
              </a:ext>
            </a:extLst>
          </xdr:cNvPr>
          <xdr:cNvSpPr txBox="1"/>
        </xdr:nvSpPr>
        <xdr:spPr>
          <a:xfrm>
            <a:off x="1880680" y="36349022"/>
            <a:ext cx="568700" cy="251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13</xdr:col>
          <xdr:colOff>60960</xdr:colOff>
          <xdr:row>7</xdr:row>
          <xdr:rowOff>160020</xdr:rowOff>
        </xdr:to>
        <xdr:sp macro="" textlink="">
          <xdr:nvSpPr>
            <xdr:cNvPr id="2049" name="MacroDisabledInform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7620</xdr:colOff>
          <xdr:row>0</xdr:row>
          <xdr:rowOff>7620</xdr:rowOff>
        </xdr:to>
        <xdr:sp macro="" textlink="">
          <xdr:nvSpPr>
            <xdr:cNvPr id="2050" name="PrintOptionLab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152400</xdr:rowOff>
        </xdr:from>
        <xdr:to>
          <xdr:col>1</xdr:col>
          <xdr:colOff>160020</xdr:colOff>
          <xdr:row>0</xdr:row>
          <xdr:rowOff>160020</xdr:rowOff>
        </xdr:to>
        <xdr:sp macro="" textlink="">
          <xdr:nvSpPr>
            <xdr:cNvPr id="2051" name="BBSProgram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106680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2052" name="ProgramFileFullNam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</xdr:row>
          <xdr:rowOff>259080</xdr:rowOff>
        </xdr:from>
        <xdr:to>
          <xdr:col>1</xdr:col>
          <xdr:colOff>464820</xdr:colOff>
          <xdr:row>1</xdr:row>
          <xdr:rowOff>266700</xdr:rowOff>
        </xdr:to>
        <xdr:sp macro="" textlink="">
          <xdr:nvSpPr>
            <xdr:cNvPr id="2053" name="AutomaticallyOpenProgramFi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60960</xdr:rowOff>
        </xdr:from>
        <xdr:to>
          <xdr:col>0</xdr:col>
          <xdr:colOff>83820</xdr:colOff>
          <xdr:row>0</xdr:row>
          <xdr:rowOff>83820</xdr:rowOff>
        </xdr:to>
        <xdr:sp macro="" textlink="">
          <xdr:nvSpPr>
            <xdr:cNvPr id="2054" name="CodeColum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7620</xdr:colOff>
          <xdr:row>0</xdr:row>
          <xdr:rowOff>7620</xdr:rowOff>
        </xdr:to>
        <xdr:sp macro="" textlink="">
          <xdr:nvSpPr>
            <xdr:cNvPr id="2055" name="LastRowOfSummar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480060</xdr:colOff>
          <xdr:row>0</xdr:row>
          <xdr:rowOff>0</xdr:rowOff>
        </xdr:from>
        <xdr:to>
          <xdr:col>18</xdr:col>
          <xdr:colOff>1524000</xdr:colOff>
          <xdr:row>1</xdr:row>
          <xdr:rowOff>175260</xdr:rowOff>
        </xdr:to>
        <xdr:sp macro="" textlink="">
          <xdr:nvSpPr>
            <xdr:cNvPr id="2056" name="PrintOptionInform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10</xdr:row>
          <xdr:rowOff>76200</xdr:rowOff>
        </xdr:from>
        <xdr:to>
          <xdr:col>29</xdr:col>
          <xdr:colOff>480060</xdr:colOff>
          <xdr:row>20</xdr:row>
          <xdr:rowOff>327660</xdr:rowOff>
        </xdr:to>
        <xdr:sp macro="" textlink="">
          <xdr:nvSpPr>
            <xdr:cNvPr id="2057" name="Guideline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8</xdr:row>
          <xdr:rowOff>114300</xdr:rowOff>
        </xdr:from>
        <xdr:to>
          <xdr:col>23</xdr:col>
          <xdr:colOff>129540</xdr:colOff>
          <xdr:row>9</xdr:row>
          <xdr:rowOff>53340</xdr:rowOff>
        </xdr:to>
        <xdr:sp macro="" textlink="">
          <xdr:nvSpPr>
            <xdr:cNvPr id="2058" name="SaveTemplet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7</xdr:row>
          <xdr:rowOff>289560</xdr:rowOff>
        </xdr:from>
        <xdr:to>
          <xdr:col>18</xdr:col>
          <xdr:colOff>1478280</xdr:colOff>
          <xdr:row>11</xdr:row>
          <xdr:rowOff>243840</xdr:rowOff>
        </xdr:to>
        <xdr:sp macro="" textlink="">
          <xdr:nvSpPr>
            <xdr:cNvPr id="2059" name="DoNotTypeInTemplat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</xdr:row>
          <xdr:rowOff>0</xdr:rowOff>
        </xdr:from>
        <xdr:to>
          <xdr:col>1</xdr:col>
          <xdr:colOff>617220</xdr:colOff>
          <xdr:row>2</xdr:row>
          <xdr:rowOff>7620</xdr:rowOff>
        </xdr:to>
        <xdr:sp macro="" textlink="">
          <xdr:nvSpPr>
            <xdr:cNvPr id="2060" name="Capitaliz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0</xdr:col>
          <xdr:colOff>160020</xdr:colOff>
          <xdr:row>0</xdr:row>
          <xdr:rowOff>160020</xdr:rowOff>
        </xdr:to>
        <xdr:sp macro="" textlink="">
          <xdr:nvSpPr>
            <xdr:cNvPr id="2061" name="Registered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0</xdr:row>
          <xdr:rowOff>0</xdr:rowOff>
        </xdr:from>
        <xdr:to>
          <xdr:col>21</xdr:col>
          <xdr:colOff>426720</xdr:colOff>
          <xdr:row>1</xdr:row>
          <xdr:rowOff>60960</xdr:rowOff>
        </xdr:to>
        <xdr:sp macro="" textlink="">
          <xdr:nvSpPr>
            <xdr:cNvPr id="2062" name="Open_OptionsForm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4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11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5.xml"/><Relationship Id="rId18" Type="http://schemas.openxmlformats.org/officeDocument/2006/relationships/image" Target="../media/image19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16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3.xml"/><Relationship Id="rId16" Type="http://schemas.openxmlformats.org/officeDocument/2006/relationships/image" Target="../media/image18.emf"/><Relationship Id="rId20" Type="http://schemas.openxmlformats.org/officeDocument/2006/relationships/image" Target="../media/image20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3.emf"/><Relationship Id="rId11" Type="http://schemas.openxmlformats.org/officeDocument/2006/relationships/control" Target="../activeX/activeX4.xml"/><Relationship Id="rId24" Type="http://schemas.openxmlformats.org/officeDocument/2006/relationships/image" Target="../media/image22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15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17.emf"/><Relationship Id="rId22" Type="http://schemas.openxmlformats.org/officeDocument/2006/relationships/image" Target="../media/image2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75.emf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79.emf"/><Relationship Id="rId7" Type="http://schemas.openxmlformats.org/officeDocument/2006/relationships/image" Target="../media/image72.emf"/><Relationship Id="rId12" Type="http://schemas.openxmlformats.org/officeDocument/2006/relationships/control" Target="../activeX/activeX15.xml"/><Relationship Id="rId17" Type="http://schemas.openxmlformats.org/officeDocument/2006/relationships/image" Target="../media/image77.emf"/><Relationship Id="rId25" Type="http://schemas.openxmlformats.org/officeDocument/2006/relationships/image" Target="../media/image8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29" Type="http://schemas.openxmlformats.org/officeDocument/2006/relationships/image" Target="../media/image8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74.emf"/><Relationship Id="rId24" Type="http://schemas.openxmlformats.org/officeDocument/2006/relationships/control" Target="../activeX/activeX21.xml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23" Type="http://schemas.openxmlformats.org/officeDocument/2006/relationships/image" Target="../media/image80.emf"/><Relationship Id="rId28" Type="http://schemas.openxmlformats.org/officeDocument/2006/relationships/control" Target="../activeX/activeX23.xml"/><Relationship Id="rId10" Type="http://schemas.openxmlformats.org/officeDocument/2006/relationships/control" Target="../activeX/activeX14.xml"/><Relationship Id="rId19" Type="http://schemas.openxmlformats.org/officeDocument/2006/relationships/image" Target="../media/image78.emf"/><Relationship Id="rId31" Type="http://schemas.openxmlformats.org/officeDocument/2006/relationships/image" Target="../media/image84.emf"/><Relationship Id="rId4" Type="http://schemas.openxmlformats.org/officeDocument/2006/relationships/control" Target="../activeX/activeX11.xml"/><Relationship Id="rId9" Type="http://schemas.openxmlformats.org/officeDocument/2006/relationships/image" Target="../media/image7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Relationship Id="rId27" Type="http://schemas.openxmlformats.org/officeDocument/2006/relationships/image" Target="../media/image82.emf"/><Relationship Id="rId30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85"/>
  <sheetViews>
    <sheetView showZeros="0" topLeftCell="A13" zoomScaleNormal="100" workbookViewId="0">
      <selection activeCell="K13" sqref="K13:K14"/>
    </sheetView>
  </sheetViews>
  <sheetFormatPr defaultRowHeight="13.2" x14ac:dyDescent="0.25"/>
  <cols>
    <col min="1" max="1" width="6.6640625" customWidth="1"/>
    <col min="3" max="3" width="6.5546875" customWidth="1"/>
    <col min="4" max="5" width="8.5546875" bestFit="1" customWidth="1"/>
    <col min="6" max="6" width="25.88671875" customWidth="1"/>
    <col min="7" max="7" width="6" bestFit="1" customWidth="1"/>
    <col min="8" max="8" width="6.33203125" bestFit="1" customWidth="1"/>
    <col min="9" max="9" width="5.33203125" bestFit="1" customWidth="1"/>
    <col min="10" max="10" width="7.33203125" customWidth="1"/>
    <col min="13" max="13" width="6" bestFit="1" customWidth="1"/>
    <col min="14" max="14" width="6.33203125" customWidth="1"/>
    <col min="15" max="15" width="6" bestFit="1" customWidth="1"/>
    <col min="16" max="16" width="4" bestFit="1" customWidth="1"/>
    <col min="17" max="17" width="5" bestFit="1" customWidth="1"/>
    <col min="18" max="18" width="2.33203125" bestFit="1" customWidth="1"/>
    <col min="19" max="20" width="2.44140625" bestFit="1" customWidth="1"/>
    <col min="21" max="21" width="2" bestFit="1" customWidth="1"/>
    <col min="22" max="22" width="3.33203125" bestFit="1" customWidth="1"/>
    <col min="23" max="23" width="25.44140625" customWidth="1"/>
    <col min="24" max="24" width="5.44140625" customWidth="1"/>
    <col min="25" max="25" width="7.109375" customWidth="1"/>
    <col min="26" max="26" width="4.6640625" customWidth="1"/>
    <col min="27" max="27" width="12" customWidth="1"/>
    <col min="32" max="32" width="10.6640625" customWidth="1"/>
    <col min="33" max="33" width="11.33203125" customWidth="1"/>
    <col min="34" max="34" width="12.44140625" customWidth="1"/>
  </cols>
  <sheetData>
    <row r="1" spans="1:46" s="34" customFormat="1" ht="40.200000000000003" customHeight="1" x14ac:dyDescent="0.25">
      <c r="A1" s="154" t="s">
        <v>39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6"/>
    </row>
    <row r="2" spans="1:46" s="35" customFormat="1" ht="40.200000000000003" customHeight="1" x14ac:dyDescent="0.25">
      <c r="A2" s="144" t="s">
        <v>40</v>
      </c>
      <c r="B2" s="145"/>
      <c r="C2" s="145"/>
      <c r="D2" s="145"/>
      <c r="E2" s="152">
        <v>1</v>
      </c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46" t="s">
        <v>41</v>
      </c>
      <c r="R2" s="146"/>
      <c r="S2" s="146"/>
      <c r="T2" s="146"/>
      <c r="U2" s="146"/>
      <c r="V2" s="146"/>
      <c r="W2" s="146"/>
      <c r="X2" s="146"/>
      <c r="Y2" s="146"/>
      <c r="Z2" s="147" t="s">
        <v>66</v>
      </c>
      <c r="AA2" s="147"/>
      <c r="AB2" s="147"/>
      <c r="AC2" s="147"/>
      <c r="AD2" s="147"/>
      <c r="AE2" s="153" t="s">
        <v>42</v>
      </c>
      <c r="AF2" s="153"/>
      <c r="AG2" s="153"/>
      <c r="AH2" s="44" t="s">
        <v>62</v>
      </c>
    </row>
    <row r="3" spans="1:46" s="34" customFormat="1" ht="40.200000000000003" customHeight="1" x14ac:dyDescent="0.25">
      <c r="A3" s="144" t="s">
        <v>43</v>
      </c>
      <c r="B3" s="145"/>
      <c r="C3" s="145"/>
      <c r="D3" s="145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46" t="s">
        <v>44</v>
      </c>
      <c r="R3" s="146" t="s">
        <v>45</v>
      </c>
      <c r="S3" s="146"/>
      <c r="T3" s="146"/>
      <c r="U3" s="146"/>
      <c r="V3" s="146"/>
      <c r="W3" s="146"/>
      <c r="X3" s="146"/>
      <c r="Y3" s="146"/>
      <c r="Z3" s="147" t="s">
        <v>60</v>
      </c>
      <c r="AA3" s="147"/>
      <c r="AB3" s="147"/>
      <c r="AC3" s="147"/>
      <c r="AD3" s="147"/>
      <c r="AE3" s="153" t="s">
        <v>51</v>
      </c>
      <c r="AF3" s="153"/>
      <c r="AG3" s="153"/>
      <c r="AH3" s="45" t="s">
        <v>98</v>
      </c>
      <c r="AT3" s="33"/>
    </row>
    <row r="4" spans="1:46" s="34" customFormat="1" ht="40.200000000000003" customHeight="1" x14ac:dyDescent="0.25">
      <c r="A4" s="144" t="s">
        <v>46</v>
      </c>
      <c r="B4" s="145"/>
      <c r="C4" s="145"/>
      <c r="D4" s="145"/>
      <c r="E4" s="152" t="s">
        <v>59</v>
      </c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46" t="s">
        <v>47</v>
      </c>
      <c r="R4" s="146" t="s">
        <v>47</v>
      </c>
      <c r="S4" s="146"/>
      <c r="T4" s="146"/>
      <c r="U4" s="146"/>
      <c r="V4" s="146"/>
      <c r="W4" s="146"/>
      <c r="X4" s="146"/>
      <c r="Y4" s="146"/>
      <c r="Z4" s="147" t="s">
        <v>61</v>
      </c>
      <c r="AA4" s="147"/>
      <c r="AB4" s="147"/>
      <c r="AC4" s="147"/>
      <c r="AD4" s="147"/>
      <c r="AE4" s="153" t="s">
        <v>48</v>
      </c>
      <c r="AF4" s="153"/>
      <c r="AG4" s="153"/>
      <c r="AH4" s="44"/>
      <c r="AT4" s="33"/>
    </row>
    <row r="5" spans="1:46" s="34" customFormat="1" ht="40.200000000000003" customHeight="1" x14ac:dyDescent="0.3">
      <c r="A5" s="144"/>
      <c r="B5" s="145"/>
      <c r="C5" s="145"/>
      <c r="D5" s="145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146" t="s">
        <v>49</v>
      </c>
      <c r="R5" s="146" t="s">
        <v>49</v>
      </c>
      <c r="S5" s="146"/>
      <c r="T5" s="146"/>
      <c r="U5" s="146"/>
      <c r="V5" s="146"/>
      <c r="W5" s="146"/>
      <c r="X5" s="146"/>
      <c r="Y5" s="146"/>
      <c r="Z5" s="147"/>
      <c r="AA5" s="147"/>
      <c r="AB5" s="147"/>
      <c r="AC5" s="147"/>
      <c r="AD5" s="147"/>
      <c r="AE5" s="148" t="s">
        <v>50</v>
      </c>
      <c r="AF5" s="148"/>
      <c r="AG5" s="148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36" t="s">
        <v>95</v>
      </c>
      <c r="C7" s="42"/>
      <c r="D7" s="42"/>
      <c r="E7" s="42"/>
      <c r="F7" s="42"/>
      <c r="G7" s="42"/>
      <c r="H7" s="42"/>
      <c r="I7" s="42"/>
      <c r="J7" s="42"/>
      <c r="K7" s="54">
        <f t="shared" ref="K7:K43" si="0">+SUM(M7:R7)-Y7</f>
        <v>0</v>
      </c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37" si="1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77</v>
      </c>
      <c r="C8" s="42"/>
      <c r="D8" s="42">
        <v>15150</v>
      </c>
      <c r="E8" s="42">
        <v>100</v>
      </c>
      <c r="F8" s="52" t="s">
        <v>78</v>
      </c>
      <c r="G8" s="42">
        <v>20</v>
      </c>
      <c r="H8" s="42">
        <v>1</v>
      </c>
      <c r="I8" s="53">
        <f>(ROUND(((D8-50-50)/E8)/2,0))+1</f>
        <v>76</v>
      </c>
      <c r="J8" s="54">
        <f t="shared" ref="J8:J20" si="2">ROUND(H8*I8,0)</f>
        <v>76</v>
      </c>
      <c r="K8" s="54">
        <f t="shared" si="0"/>
        <v>9668</v>
      </c>
      <c r="L8" s="41">
        <v>11</v>
      </c>
      <c r="M8" s="29">
        <f>ROUND(((1000-50-75)/2)+150,0)</f>
        <v>588</v>
      </c>
      <c r="N8" s="29">
        <f>1000-50+1500+7170-500</f>
        <v>9120</v>
      </c>
      <c r="O8" s="29"/>
      <c r="P8" s="29"/>
      <c r="Q8" s="29"/>
      <c r="R8" s="74"/>
      <c r="S8" s="42"/>
      <c r="T8" s="42"/>
      <c r="U8" s="42"/>
      <c r="V8" s="42"/>
      <c r="W8" s="39"/>
      <c r="X8" s="42">
        <v>1</v>
      </c>
      <c r="Y8" s="42">
        <f t="shared" si="1"/>
        <v>40</v>
      </c>
      <c r="Z8" s="30"/>
      <c r="AA8" s="55">
        <f t="shared" ref="AA8:AA20" si="3">+IF(G8="","",J8*K8)</f>
        <v>734768</v>
      </c>
      <c r="AB8" s="56" t="str">
        <f t="shared" ref="AB8:AB20" si="4">IF(G8=8,J8*K8,"")</f>
        <v/>
      </c>
      <c r="AC8" s="56" t="str">
        <f t="shared" ref="AC8:AC20" si="5">IF(G8=10,J8*K8,"")</f>
        <v/>
      </c>
      <c r="AD8" s="56" t="str">
        <f t="shared" ref="AD8:AD20" si="6">IF(G8=12,J8*K8,"")</f>
        <v/>
      </c>
      <c r="AE8" s="56" t="str">
        <f t="shared" ref="AE8:AE20" si="7">IF(G8=16,J8*K8,"")</f>
        <v/>
      </c>
      <c r="AF8" s="56">
        <f t="shared" ref="AF8:AF20" si="8">IF(G8=20,J8*K8,"")</f>
        <v>734768</v>
      </c>
      <c r="AG8" s="56" t="str">
        <f t="shared" ref="AG8:AG20" si="9">IF(G8=25,J8*K8,"")</f>
        <v/>
      </c>
      <c r="AH8" s="57" t="str">
        <f t="shared" ref="AH8:AH20" si="10">IF(G8=32,J8*K8,"")</f>
        <v/>
      </c>
    </row>
    <row r="9" spans="1:46" s="33" customFormat="1" ht="40.200000000000003" customHeight="1" x14ac:dyDescent="0.25">
      <c r="A9" s="49">
        <v>3</v>
      </c>
      <c r="B9" s="79" t="s">
        <v>77</v>
      </c>
      <c r="C9" s="42"/>
      <c r="D9" s="42">
        <v>15150</v>
      </c>
      <c r="E9" s="42">
        <v>100</v>
      </c>
      <c r="F9" s="52" t="s">
        <v>78</v>
      </c>
      <c r="G9" s="42">
        <v>20</v>
      </c>
      <c r="H9" s="42">
        <v>1</v>
      </c>
      <c r="I9" s="53">
        <f>(ROUND(((D9-50-50)/E9)/2,0))</f>
        <v>75</v>
      </c>
      <c r="J9" s="54">
        <f t="shared" si="2"/>
        <v>75</v>
      </c>
      <c r="K9" s="54">
        <f t="shared" si="0"/>
        <v>11960</v>
      </c>
      <c r="L9" s="41">
        <v>11</v>
      </c>
      <c r="M9" s="29">
        <f>ROUND(((1000-50-75)/2)+150,0)</f>
        <v>588</v>
      </c>
      <c r="N9" s="29">
        <f>12000-M9</f>
        <v>11412</v>
      </c>
      <c r="O9" s="29"/>
      <c r="P9" s="29"/>
      <c r="Q9" s="29"/>
      <c r="R9" s="74"/>
      <c r="S9" s="42"/>
      <c r="T9" s="42"/>
      <c r="U9" s="42"/>
      <c r="V9" s="42"/>
      <c r="W9" s="39"/>
      <c r="X9" s="42">
        <v>1</v>
      </c>
      <c r="Y9" s="42">
        <f t="shared" si="1"/>
        <v>40</v>
      </c>
      <c r="Z9" s="30"/>
      <c r="AA9" s="55">
        <f t="shared" si="3"/>
        <v>897000</v>
      </c>
      <c r="AB9" s="56" t="str">
        <f t="shared" si="4"/>
        <v/>
      </c>
      <c r="AC9" s="56" t="str">
        <f t="shared" si="5"/>
        <v/>
      </c>
      <c r="AD9" s="56" t="str">
        <f t="shared" si="6"/>
        <v/>
      </c>
      <c r="AE9" s="56" t="str">
        <f t="shared" si="7"/>
        <v/>
      </c>
      <c r="AF9" s="56">
        <f t="shared" si="8"/>
        <v>897000</v>
      </c>
      <c r="AG9" s="56" t="str">
        <f t="shared" si="9"/>
        <v/>
      </c>
      <c r="AH9" s="57" t="str">
        <f t="shared" si="10"/>
        <v/>
      </c>
    </row>
    <row r="10" spans="1:46" s="33" customFormat="1" ht="40.200000000000003" customHeight="1" x14ac:dyDescent="0.25">
      <c r="A10" s="49">
        <v>4</v>
      </c>
      <c r="B10" s="79" t="s">
        <v>79</v>
      </c>
      <c r="C10" s="42"/>
      <c r="D10" s="42">
        <v>15150</v>
      </c>
      <c r="E10" s="42">
        <v>100</v>
      </c>
      <c r="F10" s="52" t="s">
        <v>78</v>
      </c>
      <c r="G10" s="42">
        <v>20</v>
      </c>
      <c r="H10" s="42">
        <v>1</v>
      </c>
      <c r="I10" s="53">
        <f>(ROUND(((D10-50-50)/E10)/2,0))+1</f>
        <v>76</v>
      </c>
      <c r="J10" s="54">
        <f t="shared" si="2"/>
        <v>76</v>
      </c>
      <c r="K10" s="54">
        <f t="shared" si="0"/>
        <v>10465</v>
      </c>
      <c r="L10" s="41" t="s">
        <v>63</v>
      </c>
      <c r="M10" s="29">
        <v>800</v>
      </c>
      <c r="N10" s="29">
        <f>6*G10</f>
        <v>120</v>
      </c>
      <c r="O10" s="29">
        <f>500+1400+7765-800-N10-P10</f>
        <v>8625</v>
      </c>
      <c r="P10" s="29">
        <f>+N10</f>
        <v>120</v>
      </c>
      <c r="Q10" s="42">
        <v>800</v>
      </c>
      <c r="R10" s="42"/>
      <c r="S10" s="42"/>
      <c r="T10" s="42"/>
      <c r="U10" s="42"/>
      <c r="V10" s="42"/>
      <c r="W10" s="39"/>
      <c r="X10" s="42"/>
      <c r="Y10" s="42">
        <f t="shared" si="1"/>
        <v>0</v>
      </c>
      <c r="Z10" s="30"/>
      <c r="AA10" s="55">
        <f t="shared" si="3"/>
        <v>795340</v>
      </c>
      <c r="AB10" s="56" t="str">
        <f t="shared" si="4"/>
        <v/>
      </c>
      <c r="AC10" s="56" t="str">
        <f t="shared" si="5"/>
        <v/>
      </c>
      <c r="AD10" s="56" t="str">
        <f t="shared" si="6"/>
        <v/>
      </c>
      <c r="AE10" s="56" t="str">
        <f t="shared" si="7"/>
        <v/>
      </c>
      <c r="AF10" s="56">
        <f t="shared" si="8"/>
        <v>795340</v>
      </c>
      <c r="AG10" s="56" t="str">
        <f t="shared" si="9"/>
        <v/>
      </c>
      <c r="AH10" s="57" t="str">
        <f t="shared" si="10"/>
        <v/>
      </c>
    </row>
    <row r="11" spans="1:46" s="33" customFormat="1" ht="40.200000000000003" customHeight="1" x14ac:dyDescent="0.25">
      <c r="A11" s="49">
        <v>5</v>
      </c>
      <c r="B11" s="79" t="s">
        <v>79</v>
      </c>
      <c r="C11" s="42"/>
      <c r="D11" s="42">
        <v>15150</v>
      </c>
      <c r="E11" s="42">
        <v>100</v>
      </c>
      <c r="F11" s="52" t="s">
        <v>78</v>
      </c>
      <c r="G11" s="42">
        <v>20</v>
      </c>
      <c r="H11" s="42">
        <v>1</v>
      </c>
      <c r="I11" s="53">
        <f>(ROUND(((D11-50-50)/E11)/2,0))</f>
        <v>75</v>
      </c>
      <c r="J11" s="54">
        <f t="shared" si="2"/>
        <v>75</v>
      </c>
      <c r="K11" s="54">
        <f t="shared" ref="K11" si="11">+SUM(M11:R11)-Y11</f>
        <v>12000</v>
      </c>
      <c r="L11" s="41" t="s">
        <v>63</v>
      </c>
      <c r="M11" s="29">
        <v>800</v>
      </c>
      <c r="N11" s="29">
        <f>6*G11</f>
        <v>120</v>
      </c>
      <c r="O11" s="29">
        <f>12000-900-N11-P11-M11</f>
        <v>10060</v>
      </c>
      <c r="P11" s="29">
        <f>+N11</f>
        <v>120</v>
      </c>
      <c r="Q11" s="42">
        <v>900</v>
      </c>
      <c r="R11" s="42"/>
      <c r="S11" s="42"/>
      <c r="T11" s="42"/>
      <c r="U11" s="42"/>
      <c r="V11" s="42"/>
      <c r="W11" s="39"/>
      <c r="X11" s="42"/>
      <c r="Y11" s="42">
        <f t="shared" si="1"/>
        <v>0</v>
      </c>
      <c r="Z11" s="30"/>
      <c r="AA11" s="55">
        <f t="shared" si="3"/>
        <v>900000</v>
      </c>
      <c r="AB11" s="56" t="str">
        <f t="shared" si="4"/>
        <v/>
      </c>
      <c r="AC11" s="56" t="str">
        <f t="shared" si="5"/>
        <v/>
      </c>
      <c r="AD11" s="56" t="str">
        <f t="shared" si="6"/>
        <v/>
      </c>
      <c r="AE11" s="56" t="str">
        <f t="shared" si="7"/>
        <v/>
      </c>
      <c r="AF11" s="56">
        <f t="shared" si="8"/>
        <v>900000</v>
      </c>
      <c r="AG11" s="56" t="str">
        <f t="shared" si="9"/>
        <v/>
      </c>
      <c r="AH11" s="57" t="str">
        <f t="shared" si="10"/>
        <v/>
      </c>
    </row>
    <row r="12" spans="1:46" s="33" customFormat="1" ht="40.200000000000003" customHeight="1" x14ac:dyDescent="0.25">
      <c r="A12" s="49">
        <v>6</v>
      </c>
      <c r="B12" s="79" t="s">
        <v>80</v>
      </c>
      <c r="C12" s="42"/>
      <c r="D12" s="42">
        <v>15150</v>
      </c>
      <c r="E12" s="42">
        <v>100</v>
      </c>
      <c r="F12" s="52" t="s">
        <v>78</v>
      </c>
      <c r="G12" s="42">
        <v>20</v>
      </c>
      <c r="H12" s="42">
        <v>1</v>
      </c>
      <c r="I12" s="53">
        <f>(ROUND(((D12-50-50)/E12)/2,0))+1</f>
        <v>76</v>
      </c>
      <c r="J12" s="54">
        <f t="shared" si="2"/>
        <v>76</v>
      </c>
      <c r="K12" s="54">
        <f t="shared" si="0"/>
        <v>10765</v>
      </c>
      <c r="L12" s="41">
        <v>0</v>
      </c>
      <c r="M12" s="29">
        <f>800+1400+7765+800</f>
        <v>10765</v>
      </c>
      <c r="N12" s="29"/>
      <c r="O12" s="29"/>
      <c r="P12" s="42"/>
      <c r="Q12" s="42"/>
      <c r="R12" s="42"/>
      <c r="S12" s="42"/>
      <c r="T12" s="42"/>
      <c r="U12" s="42"/>
      <c r="V12" s="42"/>
      <c r="W12" s="39"/>
      <c r="X12" s="42"/>
      <c r="Y12" s="42">
        <f t="shared" si="1"/>
        <v>0</v>
      </c>
      <c r="Z12" s="30"/>
      <c r="AA12" s="55">
        <f t="shared" si="3"/>
        <v>818140</v>
      </c>
      <c r="AB12" s="56" t="str">
        <f t="shared" si="4"/>
        <v/>
      </c>
      <c r="AC12" s="56" t="str">
        <f t="shared" si="5"/>
        <v/>
      </c>
      <c r="AD12" s="56" t="str">
        <f t="shared" si="6"/>
        <v/>
      </c>
      <c r="AE12" s="56" t="str">
        <f t="shared" si="7"/>
        <v/>
      </c>
      <c r="AF12" s="56">
        <f t="shared" si="8"/>
        <v>818140</v>
      </c>
      <c r="AG12" s="56" t="str">
        <f t="shared" si="9"/>
        <v/>
      </c>
      <c r="AH12" s="57" t="str">
        <f t="shared" si="10"/>
        <v/>
      </c>
    </row>
    <row r="13" spans="1:46" s="33" customFormat="1" ht="40.200000000000003" customHeight="1" x14ac:dyDescent="0.25">
      <c r="A13" s="49">
        <v>7</v>
      </c>
      <c r="B13" s="79" t="s">
        <v>80</v>
      </c>
      <c r="C13" s="42"/>
      <c r="D13" s="42">
        <v>15150</v>
      </c>
      <c r="E13" s="42">
        <v>100</v>
      </c>
      <c r="F13" s="52" t="s">
        <v>78</v>
      </c>
      <c r="G13" s="42">
        <v>20</v>
      </c>
      <c r="H13" s="42">
        <v>1</v>
      </c>
      <c r="I13" s="53">
        <f>(ROUND(((D13-50-50)/E13)/2,0))</f>
        <v>75</v>
      </c>
      <c r="J13" s="54">
        <f t="shared" si="2"/>
        <v>75</v>
      </c>
      <c r="K13" s="54">
        <f t="shared" ref="K13" si="12">+SUM(M13:R13)-Y13</f>
        <v>7038</v>
      </c>
      <c r="L13" s="41">
        <v>0</v>
      </c>
      <c r="M13" s="29">
        <f>7765-2427+900+800</f>
        <v>7038</v>
      </c>
      <c r="N13" s="29"/>
      <c r="O13" s="29"/>
      <c r="P13" s="42"/>
      <c r="Q13" s="42"/>
      <c r="R13" s="42"/>
      <c r="S13" s="42"/>
      <c r="T13" s="42"/>
      <c r="U13" s="42"/>
      <c r="V13" s="42"/>
      <c r="W13" s="39"/>
      <c r="X13" s="42"/>
      <c r="Y13" s="42">
        <f t="shared" si="1"/>
        <v>0</v>
      </c>
      <c r="Z13" s="30"/>
      <c r="AA13" s="55">
        <f t="shared" si="3"/>
        <v>527850</v>
      </c>
      <c r="AB13" s="56" t="str">
        <f t="shared" si="4"/>
        <v/>
      </c>
      <c r="AC13" s="56" t="str">
        <f t="shared" si="5"/>
        <v/>
      </c>
      <c r="AD13" s="56" t="str">
        <f t="shared" si="6"/>
        <v/>
      </c>
      <c r="AE13" s="56" t="str">
        <f t="shared" si="7"/>
        <v/>
      </c>
      <c r="AF13" s="56">
        <f t="shared" si="8"/>
        <v>527850</v>
      </c>
      <c r="AG13" s="56" t="str">
        <f t="shared" si="9"/>
        <v/>
      </c>
      <c r="AH13" s="57" t="str">
        <f t="shared" si="10"/>
        <v/>
      </c>
    </row>
    <row r="14" spans="1:46" s="33" customFormat="1" ht="40.200000000000003" customHeight="1" x14ac:dyDescent="0.25">
      <c r="A14" s="49">
        <v>8</v>
      </c>
      <c r="B14" s="79" t="s">
        <v>81</v>
      </c>
      <c r="C14" s="42"/>
      <c r="D14" s="42">
        <v>15150</v>
      </c>
      <c r="E14" s="42">
        <v>100</v>
      </c>
      <c r="F14" s="52" t="s">
        <v>78</v>
      </c>
      <c r="G14" s="42">
        <v>20</v>
      </c>
      <c r="H14" s="42">
        <v>1</v>
      </c>
      <c r="I14" s="53">
        <f>(ROUND(((D14-50-50)/E14)/2,0))+1</f>
        <v>76</v>
      </c>
      <c r="J14" s="54">
        <f t="shared" si="2"/>
        <v>76</v>
      </c>
      <c r="K14" s="54">
        <f t="shared" si="0"/>
        <v>10463</v>
      </c>
      <c r="L14" s="41">
        <v>11</v>
      </c>
      <c r="M14" s="29">
        <f>ROUND(((1000-50-75)/2)+150,0)</f>
        <v>588</v>
      </c>
      <c r="N14" s="73">
        <f>9165-50+800</f>
        <v>9915</v>
      </c>
      <c r="O14" s="29"/>
      <c r="P14" s="29"/>
      <c r="Q14" s="29"/>
      <c r="R14" s="74"/>
      <c r="S14" s="42"/>
      <c r="T14" s="42"/>
      <c r="U14" s="42"/>
      <c r="V14" s="42"/>
      <c r="W14" s="39"/>
      <c r="X14" s="42">
        <v>1</v>
      </c>
      <c r="Y14" s="42">
        <f t="shared" si="1"/>
        <v>40</v>
      </c>
      <c r="Z14" s="30"/>
      <c r="AA14" s="55">
        <f t="shared" si="3"/>
        <v>795188</v>
      </c>
      <c r="AB14" s="56" t="str">
        <f t="shared" si="4"/>
        <v/>
      </c>
      <c r="AC14" s="56" t="str">
        <f t="shared" si="5"/>
        <v/>
      </c>
      <c r="AD14" s="56" t="str">
        <f t="shared" si="6"/>
        <v/>
      </c>
      <c r="AE14" s="56" t="str">
        <f t="shared" si="7"/>
        <v/>
      </c>
      <c r="AF14" s="56">
        <f t="shared" si="8"/>
        <v>795188</v>
      </c>
      <c r="AG14" s="56" t="str">
        <f t="shared" si="9"/>
        <v/>
      </c>
      <c r="AH14" s="57" t="str">
        <f t="shared" si="10"/>
        <v/>
      </c>
    </row>
    <row r="15" spans="1:46" s="33" customFormat="1" ht="40.200000000000003" customHeight="1" x14ac:dyDescent="0.25">
      <c r="A15" s="49">
        <v>9</v>
      </c>
      <c r="B15" s="79" t="s">
        <v>81</v>
      </c>
      <c r="C15" s="42"/>
      <c r="D15" s="42">
        <v>15150</v>
      </c>
      <c r="E15" s="42">
        <v>100</v>
      </c>
      <c r="F15" s="52" t="s">
        <v>78</v>
      </c>
      <c r="G15" s="42">
        <v>20</v>
      </c>
      <c r="H15" s="42">
        <v>1</v>
      </c>
      <c r="I15" s="53">
        <f>(ROUND(((D15-50-50)/E15)/2,0))</f>
        <v>75</v>
      </c>
      <c r="J15" s="54">
        <f t="shared" ref="J15" si="13">ROUND(H15*I15,0)</f>
        <v>75</v>
      </c>
      <c r="K15" s="54">
        <f t="shared" ref="K15" si="14">+SUM(M15:R15)-Y15</f>
        <v>6736</v>
      </c>
      <c r="L15" s="41">
        <v>11</v>
      </c>
      <c r="M15" s="29">
        <f>ROUND(((1000-50-75)/2)+150,0)</f>
        <v>588</v>
      </c>
      <c r="N15" s="73">
        <f>6238-50</f>
        <v>6188</v>
      </c>
      <c r="O15" s="29"/>
      <c r="P15" s="29"/>
      <c r="Q15" s="29"/>
      <c r="R15" s="74"/>
      <c r="S15" s="42"/>
      <c r="T15" s="42"/>
      <c r="U15" s="42"/>
      <c r="V15" s="42"/>
      <c r="W15" s="39"/>
      <c r="X15" s="42">
        <v>1</v>
      </c>
      <c r="Y15" s="42">
        <f t="shared" ref="Y15" si="15">+X15*2*G15</f>
        <v>40</v>
      </c>
      <c r="Z15" s="30"/>
      <c r="AA15" s="55">
        <f t="shared" ref="AA15" si="16">+IF(G15="","",J15*K15)</f>
        <v>505200</v>
      </c>
      <c r="AB15" s="56" t="str">
        <f t="shared" ref="AB15" si="17">IF(G15=8,J15*K15,"")</f>
        <v/>
      </c>
      <c r="AC15" s="56" t="str">
        <f t="shared" ref="AC15" si="18">IF(G15=10,J15*K15,"")</f>
        <v/>
      </c>
      <c r="AD15" s="56" t="str">
        <f t="shared" ref="AD15" si="19">IF(G15=12,J15*K15,"")</f>
        <v/>
      </c>
      <c r="AE15" s="56" t="str">
        <f t="shared" ref="AE15" si="20">IF(G15=16,J15*K15,"")</f>
        <v/>
      </c>
      <c r="AF15" s="56">
        <f t="shared" ref="AF15" si="21">IF(G15=20,J15*K15,"")</f>
        <v>505200</v>
      </c>
      <c r="AG15" s="56" t="str">
        <f t="shared" ref="AG15" si="22">IF(G15=25,J15*K15,"")</f>
        <v/>
      </c>
      <c r="AH15" s="57" t="str">
        <f t="shared" ref="AH15" si="23">IF(G15=32,J15*K15,"")</f>
        <v/>
      </c>
    </row>
    <row r="16" spans="1:46" s="33" customFormat="1" ht="40.200000000000003" customHeight="1" x14ac:dyDescent="0.25">
      <c r="A16" s="49">
        <v>10</v>
      </c>
      <c r="B16" s="79" t="s">
        <v>96</v>
      </c>
      <c r="C16" s="42"/>
      <c r="D16" s="42">
        <v>15150</v>
      </c>
      <c r="E16" s="42">
        <v>100</v>
      </c>
      <c r="F16" s="52" t="s">
        <v>78</v>
      </c>
      <c r="G16" s="42">
        <v>20</v>
      </c>
      <c r="H16" s="42">
        <v>1</v>
      </c>
      <c r="I16" s="53">
        <f>(ROUND(((D16-50-50)/E16)/2,0))+1</f>
        <v>76</v>
      </c>
      <c r="J16" s="54">
        <f t="shared" ref="J16" si="24">ROUND(H16*I16,0)</f>
        <v>76</v>
      </c>
      <c r="K16" s="54">
        <f t="shared" si="0"/>
        <v>10463</v>
      </c>
      <c r="L16" s="41">
        <v>11</v>
      </c>
      <c r="M16" s="29">
        <f>ROUND(((1000-50-75)/2)+150,0)</f>
        <v>588</v>
      </c>
      <c r="N16" s="73">
        <f>9165-50+800</f>
        <v>9915</v>
      </c>
      <c r="O16" s="29"/>
      <c r="P16" s="29"/>
      <c r="Q16" s="29"/>
      <c r="R16" s="74"/>
      <c r="S16" s="42"/>
      <c r="T16" s="42"/>
      <c r="U16" s="42"/>
      <c r="V16" s="42"/>
      <c r="W16" s="39"/>
      <c r="X16" s="42">
        <v>1</v>
      </c>
      <c r="Y16" s="42">
        <f t="shared" ref="Y16" si="25">+X16*2*G16</f>
        <v>40</v>
      </c>
      <c r="Z16" s="30"/>
      <c r="AA16" s="55">
        <f t="shared" ref="AA16" si="26">+IF(G16="","",J16*K16)</f>
        <v>795188</v>
      </c>
      <c r="AB16" s="56" t="str">
        <f t="shared" ref="AB16" si="27">IF(G16=8,J16*K16,"")</f>
        <v/>
      </c>
      <c r="AC16" s="56" t="str">
        <f t="shared" ref="AC16" si="28">IF(G16=10,J16*K16,"")</f>
        <v/>
      </c>
      <c r="AD16" s="56" t="str">
        <f t="shared" ref="AD16" si="29">IF(G16=12,J16*K16,"")</f>
        <v/>
      </c>
      <c r="AE16" s="56" t="str">
        <f t="shared" ref="AE16" si="30">IF(G16=16,J16*K16,"")</f>
        <v/>
      </c>
      <c r="AF16" s="56">
        <f t="shared" ref="AF16" si="31">IF(G16=20,J16*K16,"")</f>
        <v>795188</v>
      </c>
      <c r="AG16" s="56" t="str">
        <f t="shared" ref="AG16" si="32">IF(G16=25,J16*K16,"")</f>
        <v/>
      </c>
      <c r="AH16" s="57" t="str">
        <f t="shared" ref="AH16" si="33">IF(G16=32,J16*K16,"")</f>
        <v/>
      </c>
    </row>
    <row r="17" spans="1:34" s="33" customFormat="1" ht="40.200000000000003" customHeight="1" x14ac:dyDescent="0.25">
      <c r="A17" s="49">
        <v>11</v>
      </c>
      <c r="B17" s="79" t="s">
        <v>96</v>
      </c>
      <c r="C17" s="42"/>
      <c r="D17" s="42">
        <v>15150</v>
      </c>
      <c r="E17" s="42">
        <v>100</v>
      </c>
      <c r="F17" s="52" t="s">
        <v>78</v>
      </c>
      <c r="G17" s="42">
        <v>20</v>
      </c>
      <c r="H17" s="42">
        <v>1</v>
      </c>
      <c r="I17" s="53">
        <f>(ROUND(((D17-50-50)/E17)/2,0))</f>
        <v>75</v>
      </c>
      <c r="J17" s="54">
        <f t="shared" ref="J17" si="34">ROUND(H17*I17,0)</f>
        <v>75</v>
      </c>
      <c r="K17" s="54">
        <f t="shared" ref="K17" si="35">+SUM(M17:R17)-Y17</f>
        <v>6736</v>
      </c>
      <c r="L17" s="41">
        <v>11</v>
      </c>
      <c r="M17" s="29">
        <f>ROUND(((1000-50-75)/2)+150,0)</f>
        <v>588</v>
      </c>
      <c r="N17" s="73">
        <f>6238-50</f>
        <v>6188</v>
      </c>
      <c r="O17" s="29"/>
      <c r="P17" s="29"/>
      <c r="Q17" s="29"/>
      <c r="R17" s="74"/>
      <c r="S17" s="42"/>
      <c r="T17" s="42"/>
      <c r="U17" s="42"/>
      <c r="V17" s="42"/>
      <c r="W17" s="39"/>
      <c r="X17" s="42">
        <v>1</v>
      </c>
      <c r="Y17" s="42">
        <f t="shared" ref="Y17" si="36">+X17*2*G17</f>
        <v>40</v>
      </c>
      <c r="Z17" s="30"/>
      <c r="AA17" s="55">
        <f t="shared" ref="AA17" si="37">+IF(G17="","",J17*K17)</f>
        <v>505200</v>
      </c>
      <c r="AB17" s="56" t="str">
        <f t="shared" ref="AB17" si="38">IF(G17=8,J17*K17,"")</f>
        <v/>
      </c>
      <c r="AC17" s="56" t="str">
        <f t="shared" ref="AC17" si="39">IF(G17=10,J17*K17,"")</f>
        <v/>
      </c>
      <c r="AD17" s="56" t="str">
        <f t="shared" ref="AD17" si="40">IF(G17=12,J17*K17,"")</f>
        <v/>
      </c>
      <c r="AE17" s="56" t="str">
        <f t="shared" ref="AE17" si="41">IF(G17=16,J17*K17,"")</f>
        <v/>
      </c>
      <c r="AF17" s="56">
        <f t="shared" ref="AF17" si="42">IF(G17=20,J17*K17,"")</f>
        <v>505200</v>
      </c>
      <c r="AG17" s="56" t="str">
        <f t="shared" ref="AG17" si="43">IF(G17=25,J17*K17,"")</f>
        <v/>
      </c>
      <c r="AH17" s="57" t="str">
        <f t="shared" ref="AH17" si="44">IF(G17=32,J17*K17,"")</f>
        <v/>
      </c>
    </row>
    <row r="18" spans="1:34" s="33" customFormat="1" ht="40.200000000000003" customHeight="1" x14ac:dyDescent="0.25">
      <c r="A18" s="49">
        <v>12</v>
      </c>
      <c r="B18" s="79" t="s">
        <v>82</v>
      </c>
      <c r="C18" s="42" t="s">
        <v>74</v>
      </c>
      <c r="D18" s="74">
        <v>28000</v>
      </c>
      <c r="E18" s="42">
        <v>100</v>
      </c>
      <c r="F18" s="52" t="s">
        <v>83</v>
      </c>
      <c r="G18" s="42">
        <v>20</v>
      </c>
      <c r="H18" s="42">
        <v>1</v>
      </c>
      <c r="I18" s="53">
        <f>(ROUND(((D18-50-50)/E18)/2,0))+1</f>
        <v>141</v>
      </c>
      <c r="J18" s="54">
        <f t="shared" si="2"/>
        <v>141</v>
      </c>
      <c r="K18" s="54">
        <f t="shared" si="0"/>
        <v>7048</v>
      </c>
      <c r="L18" s="41" t="s">
        <v>65</v>
      </c>
      <c r="M18" s="73">
        <v>800</v>
      </c>
      <c r="N18" s="29">
        <f>6*G18</f>
        <v>120</v>
      </c>
      <c r="O18" s="29">
        <f>1000+4750-50-N18</f>
        <v>5580</v>
      </c>
      <c r="P18" s="29">
        <f>ROUND(((1000-50-75)/2)+150,0)</f>
        <v>588</v>
      </c>
      <c r="Q18" s="42"/>
      <c r="R18" s="42"/>
      <c r="S18" s="42"/>
      <c r="T18" s="42"/>
      <c r="U18" s="42"/>
      <c r="V18" s="42"/>
      <c r="W18" s="39"/>
      <c r="X18" s="42">
        <v>1</v>
      </c>
      <c r="Y18" s="42">
        <f t="shared" si="1"/>
        <v>40</v>
      </c>
      <c r="Z18" s="30"/>
      <c r="AA18" s="55">
        <f t="shared" si="3"/>
        <v>993768</v>
      </c>
      <c r="AB18" s="56" t="str">
        <f t="shared" si="4"/>
        <v/>
      </c>
      <c r="AC18" s="56" t="str">
        <f t="shared" si="5"/>
        <v/>
      </c>
      <c r="AD18" s="56" t="str">
        <f t="shared" si="6"/>
        <v/>
      </c>
      <c r="AE18" s="56" t="str">
        <f t="shared" si="7"/>
        <v/>
      </c>
      <c r="AF18" s="56">
        <f t="shared" si="8"/>
        <v>993768</v>
      </c>
      <c r="AG18" s="56" t="str">
        <f t="shared" si="9"/>
        <v/>
      </c>
      <c r="AH18" s="57" t="str">
        <f t="shared" si="10"/>
        <v/>
      </c>
    </row>
    <row r="19" spans="1:34" s="33" customFormat="1" ht="40.200000000000003" customHeight="1" x14ac:dyDescent="0.25">
      <c r="A19" s="49">
        <v>13</v>
      </c>
      <c r="B19" s="79" t="s">
        <v>82</v>
      </c>
      <c r="C19" s="42" t="s">
        <v>74</v>
      </c>
      <c r="D19" s="74">
        <v>28000</v>
      </c>
      <c r="E19" s="42">
        <v>100</v>
      </c>
      <c r="F19" s="52" t="s">
        <v>83</v>
      </c>
      <c r="G19" s="42">
        <v>20</v>
      </c>
      <c r="H19" s="42">
        <v>1</v>
      </c>
      <c r="I19" s="53">
        <f>(ROUND(((D19-50-50)/E19)/2,0))</f>
        <v>140</v>
      </c>
      <c r="J19" s="54">
        <f>ROUND(H19*I19,0)</f>
        <v>140</v>
      </c>
      <c r="K19" s="54">
        <f>+SUM(M19:R19)-Y19</f>
        <v>8088</v>
      </c>
      <c r="L19" s="41" t="s">
        <v>65</v>
      </c>
      <c r="M19" s="73">
        <v>800</v>
      </c>
      <c r="N19" s="29">
        <f>6*G19</f>
        <v>120</v>
      </c>
      <c r="O19" s="29">
        <f>4750-50+1000+800+(0.3*40*20)-N19</f>
        <v>6620</v>
      </c>
      <c r="P19" s="29">
        <f>ROUND(((1000-50-75)/2)+150,0)</f>
        <v>588</v>
      </c>
      <c r="Q19" s="42"/>
      <c r="R19" s="42"/>
      <c r="S19" s="42"/>
      <c r="T19" s="42"/>
      <c r="U19" s="42"/>
      <c r="V19" s="42"/>
      <c r="W19" s="39"/>
      <c r="X19" s="42">
        <v>1</v>
      </c>
      <c r="Y19" s="42">
        <f>+X19*2*G19</f>
        <v>40</v>
      </c>
      <c r="Z19" s="30"/>
      <c r="AA19" s="55">
        <f>+IF(G19="","",J19*K19)</f>
        <v>1132320</v>
      </c>
      <c r="AB19" s="56" t="str">
        <f>IF(G19=8,J19*K19,"")</f>
        <v/>
      </c>
      <c r="AC19" s="56" t="str">
        <f>IF(G19=10,J19*K19,"")</f>
        <v/>
      </c>
      <c r="AD19" s="56" t="str">
        <f>IF(G19=12,J19*K19,"")</f>
        <v/>
      </c>
      <c r="AE19" s="56" t="str">
        <f>IF(G19=16,J19*K19,"")</f>
        <v/>
      </c>
      <c r="AF19" s="56">
        <f>IF(G19=20,J19*K19,"")</f>
        <v>1132320</v>
      </c>
      <c r="AG19" s="56" t="str">
        <f>IF(G19=25,J19*K19,"")</f>
        <v/>
      </c>
      <c r="AH19" s="57" t="str">
        <f>IF(G19=32,J19*K19,"")</f>
        <v/>
      </c>
    </row>
    <row r="20" spans="1:34" s="33" customFormat="1" ht="44.4" customHeight="1" x14ac:dyDescent="0.25">
      <c r="A20" s="49">
        <v>14</v>
      </c>
      <c r="B20" s="79" t="s">
        <v>97</v>
      </c>
      <c r="C20" s="42" t="s">
        <v>74</v>
      </c>
      <c r="D20" s="74">
        <v>28000</v>
      </c>
      <c r="E20" s="42">
        <v>100</v>
      </c>
      <c r="F20" s="52" t="s">
        <v>83</v>
      </c>
      <c r="G20" s="42">
        <v>20</v>
      </c>
      <c r="H20" s="42">
        <v>1</v>
      </c>
      <c r="I20" s="53">
        <f>(ROUND(((D20-50-50)/E20)/2,0))+1</f>
        <v>141</v>
      </c>
      <c r="J20" s="54">
        <f t="shared" si="2"/>
        <v>141</v>
      </c>
      <c r="K20" s="54">
        <f t="shared" si="0"/>
        <v>9898</v>
      </c>
      <c r="L20" s="41">
        <v>11</v>
      </c>
      <c r="M20" s="29">
        <f>ROUND(((1000-50-75)/2)+150,0)</f>
        <v>588</v>
      </c>
      <c r="N20" s="29">
        <f>1000-50+1400+7000</f>
        <v>9350</v>
      </c>
      <c r="O20" s="29"/>
      <c r="P20" s="42"/>
      <c r="Q20" s="42"/>
      <c r="R20" s="42"/>
      <c r="S20" s="42"/>
      <c r="T20" s="42"/>
      <c r="U20" s="42"/>
      <c r="V20" s="42"/>
      <c r="W20" s="81"/>
      <c r="X20" s="42">
        <v>1</v>
      </c>
      <c r="Y20" s="42">
        <f t="shared" si="1"/>
        <v>40</v>
      </c>
      <c r="Z20" s="59"/>
      <c r="AA20" s="82">
        <f t="shared" si="3"/>
        <v>1395618</v>
      </c>
      <c r="AB20" s="83" t="str">
        <f t="shared" si="4"/>
        <v/>
      </c>
      <c r="AC20" s="83" t="str">
        <f t="shared" si="5"/>
        <v/>
      </c>
      <c r="AD20" s="83" t="str">
        <f t="shared" si="6"/>
        <v/>
      </c>
      <c r="AE20" s="83" t="str">
        <f t="shared" si="7"/>
        <v/>
      </c>
      <c r="AF20" s="83">
        <f t="shared" si="8"/>
        <v>1395618</v>
      </c>
      <c r="AG20" s="83" t="str">
        <f t="shared" si="9"/>
        <v/>
      </c>
      <c r="AH20" s="84" t="str">
        <f t="shared" si="10"/>
        <v/>
      </c>
    </row>
    <row r="21" spans="1:34" s="33" customFormat="1" ht="44.4" customHeight="1" x14ac:dyDescent="0.25">
      <c r="A21" s="49">
        <v>15</v>
      </c>
      <c r="B21" s="79" t="s">
        <v>97</v>
      </c>
      <c r="C21" s="42" t="s">
        <v>74</v>
      </c>
      <c r="D21" s="74">
        <v>28000</v>
      </c>
      <c r="E21" s="42">
        <v>100</v>
      </c>
      <c r="F21" s="52" t="s">
        <v>83</v>
      </c>
      <c r="G21" s="42">
        <v>20</v>
      </c>
      <c r="H21" s="42">
        <v>1</v>
      </c>
      <c r="I21" s="53">
        <f>(ROUND(((D21-50-50)/E21)/2,0))</f>
        <v>140</v>
      </c>
      <c r="J21" s="54">
        <f t="shared" ref="J21" si="45">ROUND(H21*I21,0)</f>
        <v>140</v>
      </c>
      <c r="K21" s="54">
        <f t="shared" ref="K21" si="46">+SUM(M21:R21)-Y21</f>
        <v>8858</v>
      </c>
      <c r="L21" s="41">
        <v>11</v>
      </c>
      <c r="M21" s="29">
        <f>ROUND(((1000-50-75)/2)+150,0)</f>
        <v>588</v>
      </c>
      <c r="N21" s="29">
        <f>1000-50+1400+7000-800-(0.3*40*20)</f>
        <v>8310</v>
      </c>
      <c r="O21" s="29"/>
      <c r="P21" s="42"/>
      <c r="Q21" s="42"/>
      <c r="R21" s="42"/>
      <c r="S21" s="42"/>
      <c r="T21" s="42"/>
      <c r="U21" s="42"/>
      <c r="V21" s="42"/>
      <c r="W21" s="81"/>
      <c r="X21" s="42">
        <v>1</v>
      </c>
      <c r="Y21" s="42">
        <f t="shared" ref="Y21" si="47">+X21*2*G21</f>
        <v>40</v>
      </c>
      <c r="Z21" s="59"/>
      <c r="AA21" s="82">
        <f t="shared" ref="AA21" si="48">+IF(G21="","",J21*K21)</f>
        <v>1240120</v>
      </c>
      <c r="AB21" s="83" t="str">
        <f t="shared" ref="AB21" si="49">IF(G21=8,J21*K21,"")</f>
        <v/>
      </c>
      <c r="AC21" s="83" t="str">
        <f t="shared" ref="AC21" si="50">IF(G21=10,J21*K21,"")</f>
        <v/>
      </c>
      <c r="AD21" s="83" t="str">
        <f t="shared" ref="AD21" si="51">IF(G21=12,J21*K21,"")</f>
        <v/>
      </c>
      <c r="AE21" s="83" t="str">
        <f t="shared" ref="AE21" si="52">IF(G21=16,J21*K21,"")</f>
        <v/>
      </c>
      <c r="AF21" s="83">
        <f t="shared" ref="AF21" si="53">IF(G21=20,J21*K21,"")</f>
        <v>1240120</v>
      </c>
      <c r="AG21" s="83" t="str">
        <f t="shared" ref="AG21" si="54">IF(G21=25,J21*K21,"")</f>
        <v/>
      </c>
      <c r="AH21" s="84" t="str">
        <f t="shared" ref="AH21" si="55">IF(G21=32,J21*K21,"")</f>
        <v/>
      </c>
    </row>
    <row r="22" spans="1:34" s="33" customFormat="1" ht="40.200000000000003" customHeight="1" x14ac:dyDescent="0.25">
      <c r="A22" s="49">
        <v>16</v>
      </c>
      <c r="B22" s="36" t="s">
        <v>67</v>
      </c>
      <c r="C22" s="42"/>
      <c r="D22" s="42"/>
      <c r="E22" s="42"/>
      <c r="F22" s="42"/>
      <c r="G22" s="42"/>
      <c r="H22" s="42"/>
      <c r="I22" s="42"/>
      <c r="J22" s="42"/>
      <c r="K22" s="54"/>
      <c r="L22" s="41"/>
      <c r="M22" s="42"/>
      <c r="N22" s="29"/>
      <c r="O22" s="42"/>
      <c r="P22" s="42"/>
      <c r="Q22" s="42"/>
      <c r="R22" s="42"/>
      <c r="S22" s="42"/>
      <c r="T22" s="42"/>
      <c r="U22" s="42"/>
      <c r="V22" s="42"/>
      <c r="W22" s="43"/>
      <c r="X22" s="42"/>
      <c r="Y22" s="42">
        <f t="shared" si="1"/>
        <v>0</v>
      </c>
      <c r="Z22" s="30"/>
      <c r="AA22" s="31" t="str">
        <f>+IF(G22="","",J22*K22)</f>
        <v/>
      </c>
      <c r="AB22" s="32" t="str">
        <f>IF(G22=8,J22*K22,"")</f>
        <v/>
      </c>
      <c r="AC22" s="32" t="str">
        <f>IF(G22=10,J22*K22,"")</f>
        <v/>
      </c>
      <c r="AD22" s="32" t="str">
        <f>IF(G22=12,J22*K22,"")</f>
        <v/>
      </c>
      <c r="AE22" s="32" t="str">
        <f>IF(G22=16,J22*K22,"")</f>
        <v/>
      </c>
      <c r="AF22" s="32" t="str">
        <f>IF(G22=20,J22*K22,"")</f>
        <v/>
      </c>
      <c r="AG22" s="32" t="str">
        <f>IF(G22=25,J22*K22,"")</f>
        <v/>
      </c>
      <c r="AH22" s="50" t="str">
        <f>IF(G22=32,J22*K22,"")</f>
        <v/>
      </c>
    </row>
    <row r="23" spans="1:34" s="33" customFormat="1" ht="40.200000000000003" customHeight="1" x14ac:dyDescent="0.25">
      <c r="A23" s="49">
        <v>17</v>
      </c>
      <c r="B23" s="79" t="s">
        <v>84</v>
      </c>
      <c r="C23" s="42"/>
      <c r="D23" s="42">
        <v>10400</v>
      </c>
      <c r="E23" s="42">
        <v>100</v>
      </c>
      <c r="F23" s="52" t="s">
        <v>78</v>
      </c>
      <c r="G23" s="42">
        <v>20</v>
      </c>
      <c r="H23" s="42">
        <v>1</v>
      </c>
      <c r="I23" s="53">
        <f t="shared" ref="I23:I26" si="56">(ROUND((D23-50-50)/E23+1,0))</f>
        <v>104</v>
      </c>
      <c r="J23" s="54">
        <f t="shared" ref="J23:J26" si="57">ROUND(H23*I23,0)</f>
        <v>104</v>
      </c>
      <c r="K23" s="54">
        <f t="shared" si="0"/>
        <v>9400</v>
      </c>
      <c r="L23" s="41">
        <v>0</v>
      </c>
      <c r="M23" s="29">
        <f>800+7800+800</f>
        <v>9400</v>
      </c>
      <c r="N23" s="29"/>
      <c r="O23" s="29"/>
      <c r="P23" s="42"/>
      <c r="Q23" s="42"/>
      <c r="R23" s="42"/>
      <c r="S23" s="42"/>
      <c r="T23" s="42"/>
      <c r="U23" s="42"/>
      <c r="V23" s="42"/>
      <c r="W23" s="39"/>
      <c r="X23" s="42"/>
      <c r="Y23" s="42">
        <f t="shared" si="1"/>
        <v>0</v>
      </c>
      <c r="Z23" s="30"/>
      <c r="AA23" s="55">
        <f t="shared" ref="AA23:AA26" si="58">+IF(G23="","",J23*K23)</f>
        <v>977600</v>
      </c>
      <c r="AB23" s="56" t="str">
        <f t="shared" ref="AB23:AB26" si="59">IF(G23=8,J23*K23,"")</f>
        <v/>
      </c>
      <c r="AC23" s="56" t="str">
        <f t="shared" ref="AC23:AC26" si="60">IF(G23=10,J23*K23,"")</f>
        <v/>
      </c>
      <c r="AD23" s="56" t="str">
        <f t="shared" ref="AD23:AD26" si="61">IF(G23=12,J23*K23,"")</f>
        <v/>
      </c>
      <c r="AE23" s="56" t="str">
        <f t="shared" ref="AE23:AE26" si="62">IF(G23=16,J23*K23,"")</f>
        <v/>
      </c>
      <c r="AF23" s="56">
        <f t="shared" ref="AF23:AF26" si="63">IF(G23=20,J23*K23,"")</f>
        <v>977600</v>
      </c>
      <c r="AG23" s="56" t="str">
        <f t="shared" ref="AG23:AG26" si="64">IF(G23=25,J23*K23,"")</f>
        <v/>
      </c>
      <c r="AH23" s="57" t="str">
        <f t="shared" ref="AH23:AH26" si="65">IF(G23=32,J23*K23,"")</f>
        <v/>
      </c>
    </row>
    <row r="24" spans="1:34" s="33" customFormat="1" ht="40.200000000000003" customHeight="1" x14ac:dyDescent="0.25">
      <c r="A24" s="49">
        <v>18</v>
      </c>
      <c r="B24" s="79" t="s">
        <v>85</v>
      </c>
      <c r="C24" s="42"/>
      <c r="D24" s="42">
        <v>4750</v>
      </c>
      <c r="E24" s="42">
        <v>100</v>
      </c>
      <c r="F24" s="52" t="s">
        <v>78</v>
      </c>
      <c r="G24" s="42">
        <v>20</v>
      </c>
      <c r="H24" s="42">
        <v>1</v>
      </c>
      <c r="I24" s="53">
        <f t="shared" si="56"/>
        <v>48</v>
      </c>
      <c r="J24" s="54">
        <f t="shared" si="57"/>
        <v>48</v>
      </c>
      <c r="K24" s="54">
        <f t="shared" si="0"/>
        <v>10900</v>
      </c>
      <c r="L24" s="41">
        <v>0</v>
      </c>
      <c r="M24" s="29">
        <f>800+9300+800</f>
        <v>10900</v>
      </c>
      <c r="N24" s="29"/>
      <c r="O24" s="29"/>
      <c r="P24" s="42"/>
      <c r="Q24" s="42"/>
      <c r="R24" s="42"/>
      <c r="S24" s="42"/>
      <c r="T24" s="42"/>
      <c r="U24" s="42"/>
      <c r="V24" s="42"/>
      <c r="W24" s="39"/>
      <c r="X24" s="42"/>
      <c r="Y24" s="42">
        <f t="shared" si="1"/>
        <v>0</v>
      </c>
      <c r="Z24" s="30"/>
      <c r="AA24" s="55">
        <f t="shared" si="58"/>
        <v>523200</v>
      </c>
      <c r="AB24" s="56" t="str">
        <f t="shared" si="59"/>
        <v/>
      </c>
      <c r="AC24" s="56" t="str">
        <f t="shared" si="60"/>
        <v/>
      </c>
      <c r="AD24" s="56" t="str">
        <f t="shared" si="61"/>
        <v/>
      </c>
      <c r="AE24" s="56" t="str">
        <f t="shared" si="62"/>
        <v/>
      </c>
      <c r="AF24" s="56">
        <f t="shared" si="63"/>
        <v>523200</v>
      </c>
      <c r="AG24" s="56" t="str">
        <f t="shared" si="64"/>
        <v/>
      </c>
      <c r="AH24" s="57" t="str">
        <f t="shared" si="65"/>
        <v/>
      </c>
    </row>
    <row r="25" spans="1:34" s="33" customFormat="1" ht="40.200000000000003" customHeight="1" x14ac:dyDescent="0.25">
      <c r="A25" s="49">
        <v>19</v>
      </c>
      <c r="B25" s="79" t="s">
        <v>86</v>
      </c>
      <c r="C25" s="42"/>
      <c r="D25" s="42">
        <v>8900</v>
      </c>
      <c r="E25" s="42">
        <v>100</v>
      </c>
      <c r="F25" s="52" t="s">
        <v>83</v>
      </c>
      <c r="G25" s="42">
        <v>20</v>
      </c>
      <c r="H25" s="42">
        <v>1</v>
      </c>
      <c r="I25" s="53">
        <f t="shared" si="56"/>
        <v>89</v>
      </c>
      <c r="J25" s="54">
        <f t="shared" si="57"/>
        <v>89</v>
      </c>
      <c r="K25" s="54">
        <f t="shared" si="0"/>
        <v>7168</v>
      </c>
      <c r="L25" s="41" t="s">
        <v>65</v>
      </c>
      <c r="M25" s="73">
        <v>800</v>
      </c>
      <c r="N25" s="29">
        <f>6*G25</f>
        <v>120</v>
      </c>
      <c r="O25" s="29">
        <f>4750-50+1000</f>
        <v>5700</v>
      </c>
      <c r="P25" s="29">
        <f>ROUND(((1000-50-75)/2)+150,0)</f>
        <v>588</v>
      </c>
      <c r="Q25" s="42"/>
      <c r="R25" s="42"/>
      <c r="S25" s="42"/>
      <c r="T25" s="42"/>
      <c r="U25" s="42"/>
      <c r="V25" s="42"/>
      <c r="W25" s="39"/>
      <c r="X25" s="42">
        <v>1</v>
      </c>
      <c r="Y25" s="42">
        <f t="shared" si="1"/>
        <v>40</v>
      </c>
      <c r="Z25" s="30"/>
      <c r="AA25" s="55">
        <f t="shared" si="58"/>
        <v>637952</v>
      </c>
      <c r="AB25" s="56" t="str">
        <f t="shared" si="59"/>
        <v/>
      </c>
      <c r="AC25" s="56" t="str">
        <f t="shared" si="60"/>
        <v/>
      </c>
      <c r="AD25" s="56" t="str">
        <f t="shared" si="61"/>
        <v/>
      </c>
      <c r="AE25" s="56" t="str">
        <f t="shared" si="62"/>
        <v/>
      </c>
      <c r="AF25" s="56">
        <f t="shared" si="63"/>
        <v>637952</v>
      </c>
      <c r="AG25" s="56" t="str">
        <f t="shared" si="64"/>
        <v/>
      </c>
      <c r="AH25" s="57" t="str">
        <f t="shared" si="65"/>
        <v/>
      </c>
    </row>
    <row r="26" spans="1:34" s="33" customFormat="1" ht="44.4" customHeight="1" x14ac:dyDescent="0.25">
      <c r="A26" s="49">
        <v>20</v>
      </c>
      <c r="B26" s="79" t="s">
        <v>87</v>
      </c>
      <c r="C26" s="42"/>
      <c r="D26" s="42">
        <v>7800</v>
      </c>
      <c r="E26" s="42">
        <v>200</v>
      </c>
      <c r="F26" s="52" t="s">
        <v>83</v>
      </c>
      <c r="G26" s="42">
        <v>20</v>
      </c>
      <c r="H26" s="42">
        <v>1</v>
      </c>
      <c r="I26" s="53">
        <f t="shared" si="56"/>
        <v>40</v>
      </c>
      <c r="J26" s="54">
        <f t="shared" si="57"/>
        <v>40</v>
      </c>
      <c r="K26" s="54">
        <f t="shared" si="0"/>
        <v>9898</v>
      </c>
      <c r="L26" s="41">
        <v>11</v>
      </c>
      <c r="M26" s="29">
        <f>ROUND(((1000-50-75)/2)+150,0)</f>
        <v>588</v>
      </c>
      <c r="N26" s="29">
        <f>10400-50-1000</f>
        <v>9350</v>
      </c>
      <c r="O26" s="29"/>
      <c r="P26" s="42"/>
      <c r="Q26" s="42"/>
      <c r="R26" s="42"/>
      <c r="S26" s="42"/>
      <c r="T26" s="42"/>
      <c r="U26" s="42"/>
      <c r="V26" s="42"/>
      <c r="W26" s="81"/>
      <c r="X26" s="42">
        <v>1</v>
      </c>
      <c r="Y26" s="42">
        <f t="shared" si="1"/>
        <v>40</v>
      </c>
      <c r="Z26" s="59"/>
      <c r="AA26" s="82">
        <f t="shared" si="58"/>
        <v>395920</v>
      </c>
      <c r="AB26" s="83" t="str">
        <f t="shared" si="59"/>
        <v/>
      </c>
      <c r="AC26" s="83" t="str">
        <f t="shared" si="60"/>
        <v/>
      </c>
      <c r="AD26" s="83" t="str">
        <f t="shared" si="61"/>
        <v/>
      </c>
      <c r="AE26" s="83" t="str">
        <f t="shared" si="62"/>
        <v/>
      </c>
      <c r="AF26" s="83">
        <f t="shared" si="63"/>
        <v>395920</v>
      </c>
      <c r="AG26" s="83" t="str">
        <f t="shared" si="64"/>
        <v/>
      </c>
      <c r="AH26" s="84" t="str">
        <f t="shared" si="65"/>
        <v/>
      </c>
    </row>
    <row r="27" spans="1:34" s="33" customFormat="1" ht="40.200000000000003" customHeight="1" x14ac:dyDescent="0.25">
      <c r="A27" s="49">
        <v>21</v>
      </c>
      <c r="B27" s="36" t="s">
        <v>69</v>
      </c>
      <c r="C27" s="42"/>
      <c r="D27" s="42"/>
      <c r="E27" s="42"/>
      <c r="F27" s="42"/>
      <c r="G27" s="42"/>
      <c r="H27" s="42"/>
      <c r="I27" s="42"/>
      <c r="J27" s="42"/>
      <c r="K27" s="54">
        <f t="shared" si="0"/>
        <v>0</v>
      </c>
      <c r="L27" s="41"/>
      <c r="M27" s="42"/>
      <c r="N27" s="29"/>
      <c r="O27" s="42"/>
      <c r="P27" s="42"/>
      <c r="Q27" s="42"/>
      <c r="R27" s="42"/>
      <c r="S27" s="42"/>
      <c r="T27" s="42"/>
      <c r="U27" s="42"/>
      <c r="V27" s="42"/>
      <c r="W27" s="43"/>
      <c r="X27" s="42"/>
      <c r="Y27" s="42">
        <f t="shared" si="1"/>
        <v>0</v>
      </c>
      <c r="Z27" s="30"/>
      <c r="AA27" s="31" t="str">
        <f>+IF(G27="","",J27*K27)</f>
        <v/>
      </c>
      <c r="AB27" s="32" t="str">
        <f>IF(G27=8,J27*K27,"")</f>
        <v/>
      </c>
      <c r="AC27" s="32" t="str">
        <f>IF(G27=10,J27*K27,"")</f>
        <v/>
      </c>
      <c r="AD27" s="32" t="str">
        <f>IF(G27=12,J27*K27,"")</f>
        <v/>
      </c>
      <c r="AE27" s="32" t="str">
        <f>IF(G27=16,J27*K27,"")</f>
        <v/>
      </c>
      <c r="AF27" s="32" t="str">
        <f>IF(G27=20,J27*K27,"")</f>
        <v/>
      </c>
      <c r="AG27" s="32" t="str">
        <f>IF(G27=25,J27*K27,"")</f>
        <v/>
      </c>
      <c r="AH27" s="50" t="str">
        <f>IF(G27=32,J27*K27,"")</f>
        <v/>
      </c>
    </row>
    <row r="28" spans="1:34" s="33" customFormat="1" ht="40.200000000000003" customHeight="1" x14ac:dyDescent="0.25">
      <c r="A28" s="49">
        <v>22</v>
      </c>
      <c r="B28" s="89" t="s">
        <v>88</v>
      </c>
      <c r="C28" s="42"/>
      <c r="D28" s="42">
        <v>4750</v>
      </c>
      <c r="E28" s="42">
        <v>100</v>
      </c>
      <c r="F28" s="52" t="s">
        <v>78</v>
      </c>
      <c r="G28" s="42">
        <v>20</v>
      </c>
      <c r="H28" s="42">
        <v>1</v>
      </c>
      <c r="I28" s="53">
        <f>(ROUND(((D28-50-50)/E28)/2,0))+1</f>
        <v>24</v>
      </c>
      <c r="J28" s="54">
        <f t="shared" ref="J28:J43" si="66">ROUND(H28*I28,0)</f>
        <v>24</v>
      </c>
      <c r="K28" s="54">
        <f t="shared" si="0"/>
        <v>8268</v>
      </c>
      <c r="L28" s="41">
        <v>11</v>
      </c>
      <c r="M28" s="29">
        <f>ROUND(((1000-50-75)/2)+150,0)</f>
        <v>588</v>
      </c>
      <c r="N28" s="29">
        <f>7770-50</f>
        <v>7720</v>
      </c>
      <c r="O28" s="29"/>
      <c r="P28" s="42"/>
      <c r="Q28" s="42"/>
      <c r="R28" s="42"/>
      <c r="S28" s="42"/>
      <c r="T28" s="42"/>
      <c r="U28" s="42"/>
      <c r="V28" s="42"/>
      <c r="W28" s="39"/>
      <c r="X28" s="42">
        <v>1</v>
      </c>
      <c r="Y28" s="42">
        <f t="shared" si="1"/>
        <v>40</v>
      </c>
      <c r="Z28" s="30"/>
      <c r="AA28" s="55">
        <f t="shared" ref="AA28:AA43" si="67">+IF(G28="","",J28*K28)</f>
        <v>198432</v>
      </c>
      <c r="AB28" s="56" t="str">
        <f t="shared" ref="AB28:AB43" si="68">IF(G28=8,J28*K28,"")</f>
        <v/>
      </c>
      <c r="AC28" s="56" t="str">
        <f t="shared" ref="AC28:AC43" si="69">IF(G28=10,J28*K28,"")</f>
        <v/>
      </c>
      <c r="AD28" s="56" t="str">
        <f t="shared" ref="AD28:AD43" si="70">IF(G28=12,J28*K28,"")</f>
        <v/>
      </c>
      <c r="AE28" s="56" t="str">
        <f t="shared" ref="AE28:AE43" si="71">IF(G28=16,J28*K28,"")</f>
        <v/>
      </c>
      <c r="AF28" s="56">
        <f t="shared" ref="AF28:AF43" si="72">IF(G28=20,J28*K28,"")</f>
        <v>198432</v>
      </c>
      <c r="AG28" s="56" t="str">
        <f t="shared" ref="AG28:AG43" si="73">IF(G28=25,J28*K28,"")</f>
        <v/>
      </c>
      <c r="AH28" s="57" t="str">
        <f t="shared" ref="AH28:AH43" si="74">IF(G28=32,J28*K28,"")</f>
        <v/>
      </c>
    </row>
    <row r="29" spans="1:34" s="33" customFormat="1" ht="40.200000000000003" customHeight="1" x14ac:dyDescent="0.25">
      <c r="A29" s="49">
        <v>23</v>
      </c>
      <c r="B29" s="89" t="s">
        <v>89</v>
      </c>
      <c r="C29" s="42">
        <f>+D28+D29+D30</f>
        <v>15150</v>
      </c>
      <c r="D29" s="42">
        <v>9400</v>
      </c>
      <c r="E29" s="42">
        <v>100</v>
      </c>
      <c r="F29" s="52" t="s">
        <v>78</v>
      </c>
      <c r="G29" s="42">
        <v>20</v>
      </c>
      <c r="H29" s="42">
        <v>1</v>
      </c>
      <c r="I29" s="53">
        <f>(ROUND(((D29-50-50)/E29)/2,0))</f>
        <v>47</v>
      </c>
      <c r="J29" s="54">
        <f t="shared" si="66"/>
        <v>47</v>
      </c>
      <c r="K29" s="54">
        <f t="shared" si="0"/>
        <v>8070</v>
      </c>
      <c r="L29" s="41">
        <v>0</v>
      </c>
      <c r="M29" s="29">
        <f>7270+800</f>
        <v>8070</v>
      </c>
      <c r="N29" s="29"/>
      <c r="O29" s="29"/>
      <c r="P29" s="42"/>
      <c r="Q29" s="42"/>
      <c r="R29" s="42"/>
      <c r="S29" s="42"/>
      <c r="T29" s="42"/>
      <c r="U29" s="42"/>
      <c r="V29" s="42"/>
      <c r="W29" s="39"/>
      <c r="X29" s="42"/>
      <c r="Y29" s="42">
        <f t="shared" si="1"/>
        <v>0</v>
      </c>
      <c r="Z29" s="30"/>
      <c r="AA29" s="55">
        <f t="shared" si="67"/>
        <v>379290</v>
      </c>
      <c r="AB29" s="56" t="str">
        <f t="shared" si="68"/>
        <v/>
      </c>
      <c r="AC29" s="56" t="str">
        <f t="shared" si="69"/>
        <v/>
      </c>
      <c r="AD29" s="56" t="str">
        <f t="shared" si="70"/>
        <v/>
      </c>
      <c r="AE29" s="56" t="str">
        <f t="shared" si="71"/>
        <v/>
      </c>
      <c r="AF29" s="56">
        <f t="shared" si="72"/>
        <v>379290</v>
      </c>
      <c r="AG29" s="56" t="str">
        <f t="shared" si="73"/>
        <v/>
      </c>
      <c r="AH29" s="57" t="str">
        <f t="shared" si="74"/>
        <v/>
      </c>
    </row>
    <row r="30" spans="1:34" s="33" customFormat="1" ht="40.200000000000003" customHeight="1" x14ac:dyDescent="0.25">
      <c r="A30" s="49">
        <v>25</v>
      </c>
      <c r="B30" s="89" t="s">
        <v>90</v>
      </c>
      <c r="C30" s="42"/>
      <c r="D30" s="42">
        <v>1000</v>
      </c>
      <c r="E30" s="42">
        <v>100</v>
      </c>
      <c r="F30" s="52" t="s">
        <v>78</v>
      </c>
      <c r="G30" s="42">
        <v>20</v>
      </c>
      <c r="H30" s="42">
        <v>1</v>
      </c>
      <c r="I30" s="53">
        <f>(ROUND(((D30-50-50)/E30)/2,0))</f>
        <v>5</v>
      </c>
      <c r="J30" s="54">
        <f t="shared" si="66"/>
        <v>5</v>
      </c>
      <c r="K30" s="54">
        <f t="shared" si="0"/>
        <v>7768</v>
      </c>
      <c r="L30" s="41">
        <v>11</v>
      </c>
      <c r="M30" s="29">
        <f>ROUND(((1000-50-75)/2)+150,0)</f>
        <v>588</v>
      </c>
      <c r="N30" s="29">
        <f>7270-50</f>
        <v>7220</v>
      </c>
      <c r="O30" s="29"/>
      <c r="P30" s="42"/>
      <c r="Q30" s="42"/>
      <c r="R30" s="42"/>
      <c r="S30" s="42"/>
      <c r="T30" s="42"/>
      <c r="U30" s="42"/>
      <c r="V30" s="42"/>
      <c r="W30" s="39"/>
      <c r="X30" s="42">
        <v>1</v>
      </c>
      <c r="Y30" s="42">
        <f t="shared" si="1"/>
        <v>40</v>
      </c>
      <c r="Z30" s="30"/>
      <c r="AA30" s="55">
        <f t="shared" si="67"/>
        <v>38840</v>
      </c>
      <c r="AB30" s="56" t="str">
        <f t="shared" si="68"/>
        <v/>
      </c>
      <c r="AC30" s="56" t="str">
        <f t="shared" si="69"/>
        <v/>
      </c>
      <c r="AD30" s="56" t="str">
        <f t="shared" si="70"/>
        <v/>
      </c>
      <c r="AE30" s="56" t="str">
        <f t="shared" si="71"/>
        <v/>
      </c>
      <c r="AF30" s="56">
        <f t="shared" si="72"/>
        <v>38840</v>
      </c>
      <c r="AG30" s="56" t="str">
        <f t="shared" si="73"/>
        <v/>
      </c>
      <c r="AH30" s="57" t="str">
        <f t="shared" si="74"/>
        <v/>
      </c>
    </row>
    <row r="31" spans="1:34" s="33" customFormat="1" ht="40.200000000000003" customHeight="1" x14ac:dyDescent="0.25">
      <c r="A31" s="49">
        <v>24</v>
      </c>
      <c r="B31" s="89" t="s">
        <v>89</v>
      </c>
      <c r="C31" s="42" t="s">
        <v>126</v>
      </c>
      <c r="D31" s="42">
        <v>15150</v>
      </c>
      <c r="E31" s="42">
        <v>100</v>
      </c>
      <c r="F31" s="52" t="s">
        <v>78</v>
      </c>
      <c r="G31" s="42">
        <v>20</v>
      </c>
      <c r="H31" s="42">
        <v>1</v>
      </c>
      <c r="I31" s="53">
        <f>(ROUND(((D31-50-50)/E31)/2,0))</f>
        <v>75</v>
      </c>
      <c r="J31" s="54">
        <f t="shared" ref="J31" si="75">ROUND(H31*I31,0)</f>
        <v>75</v>
      </c>
      <c r="K31" s="54">
        <f t="shared" ref="K31" si="76">+SUM(M31:R31)-Y31</f>
        <v>12000</v>
      </c>
      <c r="L31" s="41">
        <v>0</v>
      </c>
      <c r="M31" s="29">
        <v>12000</v>
      </c>
      <c r="N31" s="29"/>
      <c r="O31" s="29"/>
      <c r="P31" s="42"/>
      <c r="Q31" s="42"/>
      <c r="R31" s="42"/>
      <c r="S31" s="42"/>
      <c r="T31" s="42"/>
      <c r="U31" s="42"/>
      <c r="V31" s="42"/>
      <c r="W31" s="39"/>
      <c r="X31" s="42"/>
      <c r="Y31" s="42">
        <f t="shared" ref="Y31" si="77">+X31*2*G31</f>
        <v>0</v>
      </c>
      <c r="Z31" s="30"/>
      <c r="AA31" s="55">
        <f t="shared" ref="AA31" si="78">+IF(G31="","",J31*K31)</f>
        <v>900000</v>
      </c>
      <c r="AB31" s="56" t="str">
        <f t="shared" ref="AB31" si="79">IF(G31=8,J31*K31,"")</f>
        <v/>
      </c>
      <c r="AC31" s="56" t="str">
        <f t="shared" ref="AC31" si="80">IF(G31=10,J31*K31,"")</f>
        <v/>
      </c>
      <c r="AD31" s="56" t="str">
        <f t="shared" ref="AD31" si="81">IF(G31=12,J31*K31,"")</f>
        <v/>
      </c>
      <c r="AE31" s="56" t="str">
        <f t="shared" ref="AE31" si="82">IF(G31=16,J31*K31,"")</f>
        <v/>
      </c>
      <c r="AF31" s="56">
        <f t="shared" ref="AF31" si="83">IF(G31=20,J31*K31,"")</f>
        <v>900000</v>
      </c>
      <c r="AG31" s="56" t="str">
        <f t="shared" ref="AG31" si="84">IF(G31=25,J31*K31,"")</f>
        <v/>
      </c>
      <c r="AH31" s="57" t="str">
        <f t="shared" ref="AH31" si="85">IF(G31=32,J31*K31,"")</f>
        <v/>
      </c>
    </row>
    <row r="32" spans="1:34" s="33" customFormat="1" ht="40.200000000000003" customHeight="1" x14ac:dyDescent="0.25">
      <c r="A32" s="49">
        <v>26</v>
      </c>
      <c r="B32" s="79" t="s">
        <v>91</v>
      </c>
      <c r="C32" s="42"/>
      <c r="D32" s="42">
        <v>15150</v>
      </c>
      <c r="E32" s="42">
        <v>100</v>
      </c>
      <c r="F32" s="52" t="s">
        <v>78</v>
      </c>
      <c r="G32" s="42">
        <v>20</v>
      </c>
      <c r="H32" s="42">
        <v>1</v>
      </c>
      <c r="I32" s="53">
        <f>(ROUND(((D32-50-50)/E32)/2,0))+1</f>
        <v>76</v>
      </c>
      <c r="J32" s="54">
        <f t="shared" si="66"/>
        <v>76</v>
      </c>
      <c r="K32" s="54">
        <f t="shared" si="0"/>
        <v>9965</v>
      </c>
      <c r="L32" s="41" t="s">
        <v>63</v>
      </c>
      <c r="M32" s="73">
        <v>800</v>
      </c>
      <c r="N32" s="29">
        <f>6*G32</f>
        <v>120</v>
      </c>
      <c r="O32" s="29">
        <f>500+1650+7015-800-N32-P32</f>
        <v>8125</v>
      </c>
      <c r="P32" s="29">
        <f>+N32</f>
        <v>120</v>
      </c>
      <c r="Q32" s="74">
        <v>800</v>
      </c>
      <c r="R32" s="42"/>
      <c r="S32" s="42"/>
      <c r="T32" s="42"/>
      <c r="U32" s="42"/>
      <c r="V32" s="42"/>
      <c r="W32" s="39"/>
      <c r="X32" s="42"/>
      <c r="Y32" s="42">
        <f t="shared" si="1"/>
        <v>0</v>
      </c>
      <c r="Z32" s="30"/>
      <c r="AA32" s="55">
        <f t="shared" si="67"/>
        <v>757340</v>
      </c>
      <c r="AB32" s="56" t="str">
        <f t="shared" si="68"/>
        <v/>
      </c>
      <c r="AC32" s="56" t="str">
        <f t="shared" si="69"/>
        <v/>
      </c>
      <c r="AD32" s="56" t="str">
        <f t="shared" si="70"/>
        <v/>
      </c>
      <c r="AE32" s="56" t="str">
        <f t="shared" si="71"/>
        <v/>
      </c>
      <c r="AF32" s="56">
        <f t="shared" si="72"/>
        <v>757340</v>
      </c>
      <c r="AG32" s="56" t="str">
        <f t="shared" si="73"/>
        <v/>
      </c>
      <c r="AH32" s="57" t="str">
        <f t="shared" si="74"/>
        <v/>
      </c>
    </row>
    <row r="33" spans="1:34" s="33" customFormat="1" ht="40.200000000000003" customHeight="1" x14ac:dyDescent="0.25">
      <c r="A33" s="49">
        <v>27</v>
      </c>
      <c r="B33" s="79" t="s">
        <v>91</v>
      </c>
      <c r="C33" s="42" t="s">
        <v>126</v>
      </c>
      <c r="D33" s="42">
        <v>15150</v>
      </c>
      <c r="E33" s="42">
        <v>100</v>
      </c>
      <c r="F33" s="52" t="s">
        <v>78</v>
      </c>
      <c r="G33" s="42">
        <v>20</v>
      </c>
      <c r="H33" s="42">
        <v>1</v>
      </c>
      <c r="I33" s="53">
        <f>(ROUND(((D33-50-50)/E33)/2,0))</f>
        <v>75</v>
      </c>
      <c r="J33" s="54">
        <f t="shared" ref="J33" si="86">ROUND(H33*I33,0)</f>
        <v>75</v>
      </c>
      <c r="K33" s="54">
        <f t="shared" ref="K33" si="87">+SUM(M33:R33)-Y33</f>
        <v>10260</v>
      </c>
      <c r="L33" s="41" t="s">
        <v>63</v>
      </c>
      <c r="M33" s="73">
        <v>800</v>
      </c>
      <c r="N33" s="29">
        <f>6*G33</f>
        <v>120</v>
      </c>
      <c r="O33" s="29">
        <f>7390-1780+1650+2200-800-N33-P33</f>
        <v>8420</v>
      </c>
      <c r="P33" s="29">
        <f>+N33</f>
        <v>120</v>
      </c>
      <c r="Q33" s="74">
        <v>800</v>
      </c>
      <c r="R33" s="42"/>
      <c r="S33" s="42"/>
      <c r="T33" s="42"/>
      <c r="U33" s="42"/>
      <c r="V33" s="42"/>
      <c r="W33" s="39"/>
      <c r="X33" s="42"/>
      <c r="Y33" s="42">
        <f t="shared" ref="Y33" si="88">+X33*2*G33</f>
        <v>0</v>
      </c>
      <c r="Z33" s="30"/>
      <c r="AA33" s="55">
        <f t="shared" ref="AA33" si="89">+IF(G33="","",J33*K33)</f>
        <v>769500</v>
      </c>
      <c r="AB33" s="56" t="str">
        <f t="shared" ref="AB33" si="90">IF(G33=8,J33*K33,"")</f>
        <v/>
      </c>
      <c r="AC33" s="56" t="str">
        <f t="shared" ref="AC33" si="91">IF(G33=10,J33*K33,"")</f>
        <v/>
      </c>
      <c r="AD33" s="56" t="str">
        <f t="shared" ref="AD33" si="92">IF(G33=12,J33*K33,"")</f>
        <v/>
      </c>
      <c r="AE33" s="56" t="str">
        <f t="shared" ref="AE33" si="93">IF(G33=16,J33*K33,"")</f>
        <v/>
      </c>
      <c r="AF33" s="56">
        <f t="shared" ref="AF33" si="94">IF(G33=20,J33*K33,"")</f>
        <v>769500</v>
      </c>
      <c r="AG33" s="56" t="str">
        <f t="shared" ref="AG33" si="95">IF(G33=25,J33*K33,"")</f>
        <v/>
      </c>
      <c r="AH33" s="57" t="str">
        <f t="shared" ref="AH33" si="96">IF(G33=32,J33*K33,"")</f>
        <v/>
      </c>
    </row>
    <row r="34" spans="1:34" s="33" customFormat="1" ht="40.200000000000003" customHeight="1" x14ac:dyDescent="0.25">
      <c r="A34" s="49">
        <v>28</v>
      </c>
      <c r="B34" s="79" t="s">
        <v>92</v>
      </c>
      <c r="C34" s="42"/>
      <c r="D34" s="42">
        <v>15150</v>
      </c>
      <c r="E34" s="42">
        <v>100</v>
      </c>
      <c r="F34" s="52" t="s">
        <v>78</v>
      </c>
      <c r="G34" s="42">
        <v>20</v>
      </c>
      <c r="H34" s="42">
        <v>1</v>
      </c>
      <c r="I34" s="53">
        <f>(ROUND(((D34-50-50)/E34)/2,0))+1</f>
        <v>76</v>
      </c>
      <c r="J34" s="54">
        <f t="shared" si="66"/>
        <v>76</v>
      </c>
      <c r="K34" s="54">
        <f t="shared" si="0"/>
        <v>9965</v>
      </c>
      <c r="L34" s="41">
        <v>0</v>
      </c>
      <c r="M34" s="29">
        <f>800+375+1650+7140</f>
        <v>9965</v>
      </c>
      <c r="N34" s="29"/>
      <c r="O34" s="29"/>
      <c r="P34" s="42"/>
      <c r="Q34" s="42"/>
      <c r="R34" s="42"/>
      <c r="S34" s="42"/>
      <c r="T34" s="42"/>
      <c r="U34" s="42"/>
      <c r="V34" s="42"/>
      <c r="W34" s="39"/>
      <c r="X34" s="42"/>
      <c r="Y34" s="42">
        <f t="shared" si="1"/>
        <v>0</v>
      </c>
      <c r="Z34" s="30"/>
      <c r="AA34" s="55">
        <f t="shared" si="67"/>
        <v>757340</v>
      </c>
      <c r="AB34" s="56" t="str">
        <f t="shared" si="68"/>
        <v/>
      </c>
      <c r="AC34" s="56" t="str">
        <f t="shared" si="69"/>
        <v/>
      </c>
      <c r="AD34" s="56" t="str">
        <f t="shared" si="70"/>
        <v/>
      </c>
      <c r="AE34" s="56" t="str">
        <f t="shared" si="71"/>
        <v/>
      </c>
      <c r="AF34" s="56">
        <f t="shared" si="72"/>
        <v>757340</v>
      </c>
      <c r="AG34" s="56" t="str">
        <f t="shared" si="73"/>
        <v/>
      </c>
      <c r="AH34" s="57" t="str">
        <f t="shared" si="74"/>
        <v/>
      </c>
    </row>
    <row r="35" spans="1:34" s="33" customFormat="1" ht="40.200000000000003" customHeight="1" x14ac:dyDescent="0.25">
      <c r="A35" s="49">
        <v>29</v>
      </c>
      <c r="B35" s="79" t="s">
        <v>92</v>
      </c>
      <c r="C35" s="42" t="s">
        <v>126</v>
      </c>
      <c r="D35" s="42">
        <v>15150</v>
      </c>
      <c r="E35" s="42">
        <v>100</v>
      </c>
      <c r="F35" s="52" t="s">
        <v>78</v>
      </c>
      <c r="G35" s="42">
        <v>20</v>
      </c>
      <c r="H35" s="42">
        <v>1</v>
      </c>
      <c r="I35" s="53">
        <f>(ROUND(((D35-50-50)/E35)/2,0))</f>
        <v>75</v>
      </c>
      <c r="J35" s="54">
        <f t="shared" ref="J35" si="97">ROUND(H35*I35,0)</f>
        <v>75</v>
      </c>
      <c r="K35" s="54">
        <f t="shared" ref="K35" si="98">+SUM(M35:R35)-Y35</f>
        <v>9740</v>
      </c>
      <c r="L35" s="41">
        <v>0</v>
      </c>
      <c r="M35" s="29">
        <f>7640-2200+800+1400+2100</f>
        <v>9740</v>
      </c>
      <c r="N35" s="29"/>
      <c r="O35" s="29"/>
      <c r="P35" s="42"/>
      <c r="Q35" s="42"/>
      <c r="R35" s="42"/>
      <c r="S35" s="42"/>
      <c r="T35" s="42"/>
      <c r="U35" s="42"/>
      <c r="V35" s="42"/>
      <c r="W35" s="39"/>
      <c r="X35" s="42"/>
      <c r="Y35" s="42">
        <f t="shared" ref="Y35" si="99">+X35*2*G35</f>
        <v>0</v>
      </c>
      <c r="Z35" s="30"/>
      <c r="AA35" s="55">
        <f t="shared" ref="AA35" si="100">+IF(G35="","",J35*K35)</f>
        <v>730500</v>
      </c>
      <c r="AB35" s="56" t="str">
        <f t="shared" ref="AB35" si="101">IF(G35=8,J35*K35,"")</f>
        <v/>
      </c>
      <c r="AC35" s="56" t="str">
        <f t="shared" ref="AC35" si="102">IF(G35=10,J35*K35,"")</f>
        <v/>
      </c>
      <c r="AD35" s="56" t="str">
        <f t="shared" ref="AD35" si="103">IF(G35=12,J35*K35,"")</f>
        <v/>
      </c>
      <c r="AE35" s="56" t="str">
        <f t="shared" ref="AE35" si="104">IF(G35=16,J35*K35,"")</f>
        <v/>
      </c>
      <c r="AF35" s="56">
        <f t="shared" ref="AF35" si="105">IF(G35=20,J35*K35,"")</f>
        <v>730500</v>
      </c>
      <c r="AG35" s="56" t="str">
        <f t="shared" ref="AG35" si="106">IF(G35=25,J35*K35,"")</f>
        <v/>
      </c>
      <c r="AH35" s="57" t="str">
        <f t="shared" ref="AH35" si="107">IF(G35=32,J35*K35,"")</f>
        <v/>
      </c>
    </row>
    <row r="36" spans="1:34" s="33" customFormat="1" ht="40.200000000000003" customHeight="1" x14ac:dyDescent="0.25">
      <c r="A36" s="49">
        <v>30</v>
      </c>
      <c r="B36" s="79" t="s">
        <v>93</v>
      </c>
      <c r="C36" s="42"/>
      <c r="D36" s="42">
        <v>15150</v>
      </c>
      <c r="E36" s="42">
        <v>100</v>
      </c>
      <c r="F36" s="52" t="s">
        <v>78</v>
      </c>
      <c r="G36" s="42">
        <v>20</v>
      </c>
      <c r="H36" s="42">
        <v>1</v>
      </c>
      <c r="I36" s="53">
        <f>(ROUND(((D36-50-50)/E36)/2,0))+1</f>
        <v>76</v>
      </c>
      <c r="J36" s="54">
        <f t="shared" si="66"/>
        <v>76</v>
      </c>
      <c r="K36" s="54">
        <f t="shared" si="0"/>
        <v>4000</v>
      </c>
      <c r="L36" s="41" t="s">
        <v>63</v>
      </c>
      <c r="M36" s="73">
        <v>800</v>
      </c>
      <c r="N36" s="29">
        <f>6*G36</f>
        <v>120</v>
      </c>
      <c r="O36" s="29">
        <f>2400-N36-P36</f>
        <v>2160</v>
      </c>
      <c r="P36" s="29">
        <f>+N36</f>
        <v>120</v>
      </c>
      <c r="Q36" s="74">
        <v>800</v>
      </c>
      <c r="R36" s="42"/>
      <c r="S36" s="42"/>
      <c r="T36" s="42"/>
      <c r="U36" s="42"/>
      <c r="V36" s="42"/>
      <c r="W36" s="39"/>
      <c r="X36" s="42"/>
      <c r="Y36" s="42">
        <f t="shared" si="1"/>
        <v>0</v>
      </c>
      <c r="Z36" s="30"/>
      <c r="AA36" s="55">
        <f t="shared" si="67"/>
        <v>304000</v>
      </c>
      <c r="AB36" s="56" t="str">
        <f t="shared" si="68"/>
        <v/>
      </c>
      <c r="AC36" s="56" t="str">
        <f t="shared" si="69"/>
        <v/>
      </c>
      <c r="AD36" s="56" t="str">
        <f t="shared" si="70"/>
        <v/>
      </c>
      <c r="AE36" s="56" t="str">
        <f t="shared" si="71"/>
        <v/>
      </c>
      <c r="AF36" s="56">
        <f t="shared" si="72"/>
        <v>304000</v>
      </c>
      <c r="AG36" s="56" t="str">
        <f t="shared" si="73"/>
        <v/>
      </c>
      <c r="AH36" s="57" t="str">
        <f t="shared" si="74"/>
        <v/>
      </c>
    </row>
    <row r="37" spans="1:34" s="33" customFormat="1" ht="40.200000000000003" customHeight="1" x14ac:dyDescent="0.25">
      <c r="A37" s="49">
        <v>31</v>
      </c>
      <c r="B37" s="79" t="s">
        <v>94</v>
      </c>
      <c r="C37" s="42" t="s">
        <v>127</v>
      </c>
      <c r="D37" s="42">
        <f>7800+450</f>
        <v>8250</v>
      </c>
      <c r="E37" s="42">
        <v>100</v>
      </c>
      <c r="F37" s="52" t="s">
        <v>78</v>
      </c>
      <c r="G37" s="42">
        <v>20</v>
      </c>
      <c r="H37" s="42">
        <v>1</v>
      </c>
      <c r="I37" s="53">
        <f>(ROUND(((D37-50-50)/E37)/2,0))+1</f>
        <v>42</v>
      </c>
      <c r="J37" s="54">
        <f t="shared" si="66"/>
        <v>42</v>
      </c>
      <c r="K37" s="54">
        <f t="shared" si="0"/>
        <v>9898</v>
      </c>
      <c r="L37" s="41">
        <v>11</v>
      </c>
      <c r="M37" s="29">
        <f>ROUND(((1000-50-75)/2)+150,0)</f>
        <v>588</v>
      </c>
      <c r="N37" s="29">
        <f>7000+1400+1000-50</f>
        <v>9350</v>
      </c>
      <c r="O37" s="29"/>
      <c r="P37" s="42"/>
      <c r="Q37" s="42"/>
      <c r="R37" s="42"/>
      <c r="S37" s="42"/>
      <c r="T37" s="42"/>
      <c r="U37" s="42"/>
      <c r="V37" s="42"/>
      <c r="W37" s="39"/>
      <c r="X37" s="42">
        <v>1</v>
      </c>
      <c r="Y37" s="42">
        <f t="shared" si="1"/>
        <v>40</v>
      </c>
      <c r="Z37" s="30"/>
      <c r="AA37" s="55">
        <f t="shared" si="67"/>
        <v>415716</v>
      </c>
      <c r="AB37" s="56" t="str">
        <f t="shared" si="68"/>
        <v/>
      </c>
      <c r="AC37" s="56" t="str">
        <f t="shared" si="69"/>
        <v/>
      </c>
      <c r="AD37" s="56" t="str">
        <f t="shared" si="70"/>
        <v/>
      </c>
      <c r="AE37" s="56" t="str">
        <f t="shared" si="71"/>
        <v/>
      </c>
      <c r="AF37" s="56">
        <f t="shared" si="72"/>
        <v>415716</v>
      </c>
      <c r="AG37" s="56" t="str">
        <f t="shared" si="73"/>
        <v/>
      </c>
      <c r="AH37" s="57" t="str">
        <f t="shared" si="74"/>
        <v/>
      </c>
    </row>
    <row r="38" spans="1:34" s="33" customFormat="1" ht="40.200000000000003" customHeight="1" x14ac:dyDescent="0.25">
      <c r="A38" s="49">
        <v>32</v>
      </c>
      <c r="B38" s="91" t="s">
        <v>94</v>
      </c>
      <c r="C38" s="42" t="s">
        <v>129</v>
      </c>
      <c r="D38" s="74">
        <v>6900</v>
      </c>
      <c r="E38" s="42">
        <v>100</v>
      </c>
      <c r="F38" s="52" t="s">
        <v>78</v>
      </c>
      <c r="G38" s="42">
        <v>20</v>
      </c>
      <c r="H38" s="42">
        <v>1</v>
      </c>
      <c r="I38" s="53">
        <f>(ROUND(((D38-50-50)/E38)/2,0))</f>
        <v>34</v>
      </c>
      <c r="J38" s="54">
        <f t="shared" ref="J38:J39" si="108">ROUND(H38*I38,0)</f>
        <v>34</v>
      </c>
      <c r="K38" s="54">
        <f t="shared" ref="K38:K39" si="109">+SUM(M38:R38)-Y38</f>
        <v>9970</v>
      </c>
      <c r="L38" s="85" t="s">
        <v>65</v>
      </c>
      <c r="M38" s="73">
        <f>3000+5000</f>
        <v>8000</v>
      </c>
      <c r="N38" s="29">
        <v>472</v>
      </c>
      <c r="O38" s="29">
        <f>1000-50</f>
        <v>950</v>
      </c>
      <c r="P38" s="29">
        <f>ROUND(((1000-50-75)/2)+150,0)</f>
        <v>588</v>
      </c>
      <c r="Q38" s="42"/>
      <c r="R38" s="42"/>
      <c r="S38" s="42"/>
      <c r="T38" s="42"/>
      <c r="U38" s="42"/>
      <c r="V38" s="42"/>
      <c r="W38" s="39"/>
      <c r="X38" s="42">
        <v>1</v>
      </c>
      <c r="Y38" s="42">
        <f t="shared" ref="Y38:Y39" si="110">+X38*2*G38</f>
        <v>40</v>
      </c>
      <c r="Z38" s="30"/>
      <c r="AA38" s="55">
        <f t="shared" ref="AA38:AA39" si="111">+IF(G38="","",J38*K38)</f>
        <v>338980</v>
      </c>
      <c r="AB38" s="56" t="str">
        <f t="shared" ref="AB38:AB39" si="112">IF(G38=8,J38*K38,"")</f>
        <v/>
      </c>
      <c r="AC38" s="56" t="str">
        <f t="shared" ref="AC38:AC39" si="113">IF(G38=10,J38*K38,"")</f>
        <v/>
      </c>
      <c r="AD38" s="56" t="str">
        <f t="shared" ref="AD38:AD39" si="114">IF(G38=12,J38*K38,"")</f>
        <v/>
      </c>
      <c r="AE38" s="56" t="str">
        <f t="shared" ref="AE38:AE39" si="115">IF(G38=16,J38*K38,"")</f>
        <v/>
      </c>
      <c r="AF38" s="56">
        <f t="shared" ref="AF38:AF39" si="116">IF(G38=20,J38*K38,"")</f>
        <v>338980</v>
      </c>
      <c r="AG38" s="56" t="str">
        <f t="shared" ref="AG38:AG39" si="117">IF(G38=25,J38*K38,"")</f>
        <v/>
      </c>
      <c r="AH38" s="57" t="str">
        <f t="shared" ref="AH38:AH39" si="118">IF(G38=32,J38*K38,"")</f>
        <v/>
      </c>
    </row>
    <row r="39" spans="1:34" s="33" customFormat="1" ht="40.200000000000003" customHeight="1" x14ac:dyDescent="0.25">
      <c r="A39" s="49">
        <v>33</v>
      </c>
      <c r="B39" s="79" t="s">
        <v>94</v>
      </c>
      <c r="C39" s="42" t="s">
        <v>128</v>
      </c>
      <c r="D39" s="42">
        <f>7800+450</f>
        <v>8250</v>
      </c>
      <c r="E39" s="42">
        <v>100</v>
      </c>
      <c r="F39" s="52" t="s">
        <v>78</v>
      </c>
      <c r="G39" s="42">
        <v>20</v>
      </c>
      <c r="H39" s="42">
        <v>1</v>
      </c>
      <c r="I39" s="53">
        <f>(ROUND(((D39-50-50)/E39)/2,0))</f>
        <v>41</v>
      </c>
      <c r="J39" s="54">
        <f t="shared" si="108"/>
        <v>41</v>
      </c>
      <c r="K39" s="54">
        <f t="shared" si="109"/>
        <v>9098</v>
      </c>
      <c r="L39" s="41">
        <v>11</v>
      </c>
      <c r="M39" s="29">
        <f>ROUND(((1000-50-75)/2)+150,0)</f>
        <v>588</v>
      </c>
      <c r="N39" s="29">
        <f>7500-2100+800+1400+1000-50</f>
        <v>8550</v>
      </c>
      <c r="O39" s="29"/>
      <c r="P39" s="42"/>
      <c r="Q39" s="42"/>
      <c r="R39" s="42"/>
      <c r="S39" s="42"/>
      <c r="T39" s="42"/>
      <c r="U39" s="42"/>
      <c r="V39" s="42"/>
      <c r="W39" s="39"/>
      <c r="X39" s="42">
        <v>1</v>
      </c>
      <c r="Y39" s="42">
        <f t="shared" si="110"/>
        <v>40</v>
      </c>
      <c r="Z39" s="30"/>
      <c r="AA39" s="55">
        <f t="shared" si="111"/>
        <v>373018</v>
      </c>
      <c r="AB39" s="56" t="str">
        <f t="shared" si="112"/>
        <v/>
      </c>
      <c r="AC39" s="56" t="str">
        <f t="shared" si="113"/>
        <v/>
      </c>
      <c r="AD39" s="56" t="str">
        <f t="shared" si="114"/>
        <v/>
      </c>
      <c r="AE39" s="56" t="str">
        <f t="shared" si="115"/>
        <v/>
      </c>
      <c r="AF39" s="56">
        <f t="shared" si="116"/>
        <v>373018</v>
      </c>
      <c r="AG39" s="56" t="str">
        <f t="shared" si="117"/>
        <v/>
      </c>
      <c r="AH39" s="57" t="str">
        <f t="shared" si="118"/>
        <v/>
      </c>
    </row>
    <row r="40" spans="1:34" s="33" customFormat="1" ht="40.200000000000003" customHeight="1" x14ac:dyDescent="0.25">
      <c r="A40" s="49">
        <v>34</v>
      </c>
      <c r="B40" s="91" t="s">
        <v>94</v>
      </c>
      <c r="C40" s="42" t="s">
        <v>126</v>
      </c>
      <c r="D40" s="74">
        <v>6900</v>
      </c>
      <c r="E40" s="42">
        <v>100</v>
      </c>
      <c r="F40" s="52" t="s">
        <v>78</v>
      </c>
      <c r="G40" s="42">
        <v>20</v>
      </c>
      <c r="H40" s="42">
        <v>1</v>
      </c>
      <c r="I40" s="53">
        <f>(ROUND(((D40-50-50)/E40)/2,0))</f>
        <v>34</v>
      </c>
      <c r="J40" s="54">
        <f t="shared" ref="J40" si="119">ROUND(H40*I40,0)</f>
        <v>34</v>
      </c>
      <c r="K40" s="54">
        <f t="shared" ref="K40" si="120">+SUM(M40:R40)-Y40</f>
        <v>9170</v>
      </c>
      <c r="L40" s="85" t="s">
        <v>65</v>
      </c>
      <c r="M40" s="73">
        <f>3000+3400+800</f>
        <v>7200</v>
      </c>
      <c r="N40" s="29">
        <v>472</v>
      </c>
      <c r="O40" s="29">
        <f>1000-50</f>
        <v>950</v>
      </c>
      <c r="P40" s="29">
        <f>ROUND(((1000-50-75)/2)+150,0)</f>
        <v>588</v>
      </c>
      <c r="Q40" s="42"/>
      <c r="R40" s="42"/>
      <c r="S40" s="42"/>
      <c r="T40" s="42"/>
      <c r="U40" s="42"/>
      <c r="V40" s="42"/>
      <c r="W40" s="39"/>
      <c r="X40" s="42">
        <v>1</v>
      </c>
      <c r="Y40" s="42">
        <f t="shared" ref="Y40" si="121">+X40*2*G40</f>
        <v>40</v>
      </c>
      <c r="Z40" s="30"/>
      <c r="AA40" s="55">
        <f t="shared" ref="AA40" si="122">+IF(G40="","",J40*K40)</f>
        <v>311780</v>
      </c>
      <c r="AB40" s="56" t="str">
        <f t="shared" ref="AB40" si="123">IF(G40=8,J40*K40,"")</f>
        <v/>
      </c>
      <c r="AC40" s="56" t="str">
        <f t="shared" ref="AC40" si="124">IF(G40=10,J40*K40,"")</f>
        <v/>
      </c>
      <c r="AD40" s="56" t="str">
        <f t="shared" ref="AD40" si="125">IF(G40=12,J40*K40,"")</f>
        <v/>
      </c>
      <c r="AE40" s="56" t="str">
        <f t="shared" ref="AE40" si="126">IF(G40=16,J40*K40,"")</f>
        <v/>
      </c>
      <c r="AF40" s="56">
        <f t="shared" ref="AF40" si="127">IF(G40=20,J40*K40,"")</f>
        <v>311780</v>
      </c>
      <c r="AG40" s="56" t="str">
        <f t="shared" ref="AG40" si="128">IF(G40=25,J40*K40,"")</f>
        <v/>
      </c>
      <c r="AH40" s="57" t="str">
        <f t="shared" ref="AH40" si="129">IF(G40=32,J40*K40,"")</f>
        <v/>
      </c>
    </row>
    <row r="41" spans="1:34" s="33" customFormat="1" ht="40.200000000000003" customHeight="1" x14ac:dyDescent="0.25">
      <c r="A41" s="49">
        <v>35</v>
      </c>
      <c r="B41" s="90" t="s">
        <v>82</v>
      </c>
      <c r="C41" s="42" t="s">
        <v>75</v>
      </c>
      <c r="D41" s="74">
        <v>36400</v>
      </c>
      <c r="E41" s="42">
        <v>100</v>
      </c>
      <c r="F41" s="52" t="s">
        <v>83</v>
      </c>
      <c r="G41" s="42">
        <v>20</v>
      </c>
      <c r="H41" s="42">
        <v>1</v>
      </c>
      <c r="I41" s="53">
        <f>(ROUND(((D41-50-50)/E41)/2,0))+1</f>
        <v>183</v>
      </c>
      <c r="J41" s="54">
        <f t="shared" si="66"/>
        <v>183</v>
      </c>
      <c r="K41" s="54">
        <f t="shared" si="0"/>
        <v>7048</v>
      </c>
      <c r="L41" s="41" t="s">
        <v>65</v>
      </c>
      <c r="M41" s="73">
        <v>800</v>
      </c>
      <c r="N41" s="29">
        <f>6*G41</f>
        <v>120</v>
      </c>
      <c r="O41" s="29">
        <f>1000+4750-50-N41</f>
        <v>5580</v>
      </c>
      <c r="P41" s="29">
        <f>ROUND(((1000-50-75)/2)+150,0)</f>
        <v>588</v>
      </c>
      <c r="Q41" s="42"/>
      <c r="R41" s="42"/>
      <c r="S41" s="42"/>
      <c r="T41" s="42"/>
      <c r="U41" s="42"/>
      <c r="V41" s="42"/>
      <c r="W41" s="39"/>
      <c r="X41" s="42">
        <v>1</v>
      </c>
      <c r="Y41" s="42">
        <f t="shared" ref="Y41:Y43" si="130">+X41*2*G41</f>
        <v>40</v>
      </c>
      <c r="Z41" s="30"/>
      <c r="AA41" s="55">
        <f t="shared" si="67"/>
        <v>1289784</v>
      </c>
      <c r="AB41" s="56" t="str">
        <f t="shared" si="68"/>
        <v/>
      </c>
      <c r="AC41" s="56" t="str">
        <f t="shared" si="69"/>
        <v/>
      </c>
      <c r="AD41" s="56" t="str">
        <f t="shared" si="70"/>
        <v/>
      </c>
      <c r="AE41" s="56" t="str">
        <f t="shared" si="71"/>
        <v/>
      </c>
      <c r="AF41" s="56">
        <f t="shared" si="72"/>
        <v>1289784</v>
      </c>
      <c r="AG41" s="56" t="str">
        <f t="shared" si="73"/>
        <v/>
      </c>
      <c r="AH41" s="57" t="str">
        <f t="shared" si="74"/>
        <v/>
      </c>
    </row>
    <row r="42" spans="1:34" s="33" customFormat="1" ht="40.200000000000003" customHeight="1" x14ac:dyDescent="0.25">
      <c r="A42" s="49">
        <v>36</v>
      </c>
      <c r="B42" s="90" t="s">
        <v>82</v>
      </c>
      <c r="C42" s="42" t="s">
        <v>75</v>
      </c>
      <c r="D42" s="74">
        <v>36400</v>
      </c>
      <c r="E42" s="42">
        <v>100</v>
      </c>
      <c r="F42" s="52" t="s">
        <v>83</v>
      </c>
      <c r="G42" s="42">
        <v>20</v>
      </c>
      <c r="H42" s="42">
        <v>1</v>
      </c>
      <c r="I42" s="53">
        <f>(ROUND(((D42-50-50)/E42)/2,0))</f>
        <v>182</v>
      </c>
      <c r="J42" s="54">
        <f t="shared" ref="J42" si="131">ROUND(H42*I42,0)</f>
        <v>182</v>
      </c>
      <c r="K42" s="54">
        <f t="shared" ref="K42" si="132">+SUM(M42:R42)-Y42</f>
        <v>8088</v>
      </c>
      <c r="L42" s="41" t="s">
        <v>65</v>
      </c>
      <c r="M42" s="73">
        <v>800</v>
      </c>
      <c r="N42" s="29">
        <f>6*G42</f>
        <v>120</v>
      </c>
      <c r="O42" s="29">
        <f>4750-50+1000+800+(0.3*40*20)-N42</f>
        <v>6620</v>
      </c>
      <c r="P42" s="29">
        <f>ROUND(((1000-50-75)/2)+150,0)</f>
        <v>588</v>
      </c>
      <c r="Q42" s="42"/>
      <c r="R42" s="42"/>
      <c r="S42" s="42"/>
      <c r="T42" s="42"/>
      <c r="U42" s="42"/>
      <c r="V42" s="42"/>
      <c r="W42" s="39"/>
      <c r="X42" s="42">
        <v>1</v>
      </c>
      <c r="Y42" s="42">
        <f t="shared" ref="Y42" si="133">+X42*2*G42</f>
        <v>40</v>
      </c>
      <c r="Z42" s="30"/>
      <c r="AA42" s="55">
        <f t="shared" ref="AA42" si="134">+IF(G42="","",J42*K42)</f>
        <v>1472016</v>
      </c>
      <c r="AB42" s="56" t="str">
        <f t="shared" ref="AB42" si="135">IF(G42=8,J42*K42,"")</f>
        <v/>
      </c>
      <c r="AC42" s="56" t="str">
        <f t="shared" ref="AC42" si="136">IF(G42=10,J42*K42,"")</f>
        <v/>
      </c>
      <c r="AD42" s="56" t="str">
        <f t="shared" ref="AD42" si="137">IF(G42=12,J42*K42,"")</f>
        <v/>
      </c>
      <c r="AE42" s="56" t="str">
        <f t="shared" ref="AE42" si="138">IF(G42=16,J42*K42,"")</f>
        <v/>
      </c>
      <c r="AF42" s="56">
        <f t="shared" ref="AF42" si="139">IF(G42=20,J42*K42,"")</f>
        <v>1472016</v>
      </c>
      <c r="AG42" s="56" t="str">
        <f t="shared" ref="AG42" si="140">IF(G42=25,J42*K42,"")</f>
        <v/>
      </c>
      <c r="AH42" s="57" t="str">
        <f t="shared" ref="AH42" si="141">IF(G42=32,J42*K42,"")</f>
        <v/>
      </c>
    </row>
    <row r="43" spans="1:34" s="33" customFormat="1" ht="44.4" customHeight="1" x14ac:dyDescent="0.25">
      <c r="A43" s="49">
        <v>37</v>
      </c>
      <c r="B43" s="90" t="s">
        <v>97</v>
      </c>
      <c r="C43" s="42" t="s">
        <v>75</v>
      </c>
      <c r="D43" s="74">
        <v>36400</v>
      </c>
      <c r="E43" s="42">
        <v>100</v>
      </c>
      <c r="F43" s="52" t="s">
        <v>83</v>
      </c>
      <c r="G43" s="42">
        <v>20</v>
      </c>
      <c r="H43" s="42">
        <v>1</v>
      </c>
      <c r="I43" s="53">
        <f>(ROUND(((D43-50-50)/E43)/2,0))+1</f>
        <v>183</v>
      </c>
      <c r="J43" s="54">
        <f t="shared" si="66"/>
        <v>183</v>
      </c>
      <c r="K43" s="54">
        <f t="shared" si="0"/>
        <v>9898</v>
      </c>
      <c r="L43" s="41">
        <v>11</v>
      </c>
      <c r="M43" s="29">
        <f>ROUND(((1000-50-75)/2)+150,0)</f>
        <v>588</v>
      </c>
      <c r="N43" s="29">
        <f>1000-50+1400+7000</f>
        <v>9350</v>
      </c>
      <c r="O43" s="29"/>
      <c r="P43" s="42"/>
      <c r="Q43" s="42"/>
      <c r="R43" s="42"/>
      <c r="S43" s="42"/>
      <c r="T43" s="42"/>
      <c r="U43" s="42"/>
      <c r="V43" s="42"/>
      <c r="W43" s="81"/>
      <c r="X43" s="42">
        <v>1</v>
      </c>
      <c r="Y43" s="42">
        <f t="shared" si="130"/>
        <v>40</v>
      </c>
      <c r="Z43" s="59"/>
      <c r="AA43" s="82">
        <f t="shared" si="67"/>
        <v>1811334</v>
      </c>
      <c r="AB43" s="83" t="str">
        <f t="shared" si="68"/>
        <v/>
      </c>
      <c r="AC43" s="83" t="str">
        <f t="shared" si="69"/>
        <v/>
      </c>
      <c r="AD43" s="83" t="str">
        <f t="shared" si="70"/>
        <v/>
      </c>
      <c r="AE43" s="83" t="str">
        <f t="shared" si="71"/>
        <v/>
      </c>
      <c r="AF43" s="83">
        <f t="shared" si="72"/>
        <v>1811334</v>
      </c>
      <c r="AG43" s="83" t="str">
        <f t="shared" si="73"/>
        <v/>
      </c>
      <c r="AH43" s="84" t="str">
        <f t="shared" si="74"/>
        <v/>
      </c>
    </row>
    <row r="44" spans="1:34" s="33" customFormat="1" ht="44.4" customHeight="1" x14ac:dyDescent="0.25">
      <c r="A44" s="49">
        <v>38</v>
      </c>
      <c r="B44" s="90" t="s">
        <v>97</v>
      </c>
      <c r="C44" s="42" t="s">
        <v>75</v>
      </c>
      <c r="D44" s="74">
        <v>36400</v>
      </c>
      <c r="E44" s="42">
        <v>100</v>
      </c>
      <c r="F44" s="52" t="s">
        <v>83</v>
      </c>
      <c r="G44" s="42">
        <v>20</v>
      </c>
      <c r="H44" s="42">
        <v>1</v>
      </c>
      <c r="I44" s="53">
        <f>(ROUND(((D44-50-50)/E44)/2,0))</f>
        <v>182</v>
      </c>
      <c r="J44" s="54">
        <f t="shared" ref="J44:J46" si="142">ROUND(H44*I44,0)</f>
        <v>182</v>
      </c>
      <c r="K44" s="54">
        <f t="shared" ref="K44:K45" si="143">+SUM(M44:R44)-Y44</f>
        <v>8858</v>
      </c>
      <c r="L44" s="41">
        <v>11</v>
      </c>
      <c r="M44" s="29">
        <f>ROUND(((1000-50-75)/2)+150,0)</f>
        <v>588</v>
      </c>
      <c r="N44" s="29">
        <f>1000-50+1400+7000-800-(0.3*40*20)</f>
        <v>8310</v>
      </c>
      <c r="O44" s="29"/>
      <c r="P44" s="42"/>
      <c r="Q44" s="42"/>
      <c r="R44" s="42"/>
      <c r="S44" s="42"/>
      <c r="T44" s="42"/>
      <c r="U44" s="42"/>
      <c r="V44" s="42"/>
      <c r="W44" s="81"/>
      <c r="X44" s="42">
        <v>1</v>
      </c>
      <c r="Y44" s="42">
        <f t="shared" ref="Y44:Y46" si="144">+X44*2*G44</f>
        <v>40</v>
      </c>
      <c r="Z44" s="59"/>
      <c r="AA44" s="82">
        <f t="shared" ref="AA44:AA46" si="145">+IF(G44="","",J44*K44)</f>
        <v>1612156</v>
      </c>
      <c r="AB44" s="83" t="str">
        <f t="shared" ref="AB44:AB46" si="146">IF(G44=8,J44*K44,"")</f>
        <v/>
      </c>
      <c r="AC44" s="83" t="str">
        <f t="shared" ref="AC44:AC46" si="147">IF(G44=10,J44*K44,"")</f>
        <v/>
      </c>
      <c r="AD44" s="83" t="str">
        <f t="shared" ref="AD44:AD46" si="148">IF(G44=12,J44*K44,"")</f>
        <v/>
      </c>
      <c r="AE44" s="83" t="str">
        <f t="shared" ref="AE44:AE46" si="149">IF(G44=16,J44*K44,"")</f>
        <v/>
      </c>
      <c r="AF44" s="83">
        <f t="shared" ref="AF44:AF46" si="150">IF(G44=20,J44*K44,"")</f>
        <v>1612156</v>
      </c>
      <c r="AG44" s="83" t="str">
        <f t="shared" ref="AG44:AG46" si="151">IF(G44=25,J44*K44,"")</f>
        <v/>
      </c>
      <c r="AH44" s="84" t="str">
        <f t="shared" ref="AH44:AH46" si="152">IF(G44=32,J44*K44,"")</f>
        <v/>
      </c>
    </row>
    <row r="45" spans="1:34" s="33" customFormat="1" ht="57" customHeight="1" x14ac:dyDescent="0.25">
      <c r="A45" s="49">
        <v>39</v>
      </c>
      <c r="B45" s="90" t="s">
        <v>82</v>
      </c>
      <c r="C45" s="86" t="s">
        <v>99</v>
      </c>
      <c r="D45" s="74">
        <v>1000</v>
      </c>
      <c r="E45" s="42">
        <v>100</v>
      </c>
      <c r="F45" s="52" t="s">
        <v>83</v>
      </c>
      <c r="G45" s="42">
        <v>20</v>
      </c>
      <c r="H45" s="42">
        <v>1</v>
      </c>
      <c r="I45" s="53">
        <f t="shared" ref="I45:I46" si="153">(ROUND((D45-50-50)/E45+1,0))</f>
        <v>10</v>
      </c>
      <c r="J45" s="54">
        <f t="shared" si="142"/>
        <v>10</v>
      </c>
      <c r="K45" s="54">
        <f t="shared" si="143"/>
        <v>7048</v>
      </c>
      <c r="L45" s="41">
        <v>11</v>
      </c>
      <c r="M45" s="29">
        <f>ROUND(((1000-50-75)/2)+150,0)</f>
        <v>588</v>
      </c>
      <c r="N45" s="29">
        <f>4750-50+1000+800</f>
        <v>6500</v>
      </c>
      <c r="O45" s="29"/>
      <c r="P45" s="29"/>
      <c r="Q45" s="42"/>
      <c r="R45" s="42"/>
      <c r="S45" s="42"/>
      <c r="T45" s="42"/>
      <c r="U45" s="42"/>
      <c r="V45" s="42"/>
      <c r="W45" s="39"/>
      <c r="X45" s="42">
        <v>1</v>
      </c>
      <c r="Y45" s="42">
        <f t="shared" si="144"/>
        <v>40</v>
      </c>
      <c r="Z45" s="30"/>
      <c r="AA45" s="55">
        <f t="shared" si="145"/>
        <v>70480</v>
      </c>
      <c r="AB45" s="56" t="str">
        <f t="shared" si="146"/>
        <v/>
      </c>
      <c r="AC45" s="56" t="str">
        <f t="shared" si="147"/>
        <v/>
      </c>
      <c r="AD45" s="56" t="str">
        <f t="shared" si="148"/>
        <v/>
      </c>
      <c r="AE45" s="56" t="str">
        <f t="shared" si="149"/>
        <v/>
      </c>
      <c r="AF45" s="56">
        <f t="shared" si="150"/>
        <v>70480</v>
      </c>
      <c r="AG45" s="56" t="str">
        <f t="shared" si="151"/>
        <v/>
      </c>
      <c r="AH45" s="57" t="str">
        <f t="shared" si="152"/>
        <v/>
      </c>
    </row>
    <row r="46" spans="1:34" s="33" customFormat="1" ht="55.2" customHeight="1" thickBot="1" x14ac:dyDescent="0.3">
      <c r="A46" s="49">
        <v>40</v>
      </c>
      <c r="B46" s="90" t="s">
        <v>97</v>
      </c>
      <c r="C46" s="86" t="s">
        <v>99</v>
      </c>
      <c r="D46" s="74">
        <v>1000</v>
      </c>
      <c r="E46" s="42">
        <v>100</v>
      </c>
      <c r="F46" s="52" t="s">
        <v>83</v>
      </c>
      <c r="G46" s="42">
        <v>20</v>
      </c>
      <c r="H46" s="42">
        <v>1</v>
      </c>
      <c r="I46" s="53">
        <f t="shared" si="153"/>
        <v>10</v>
      </c>
      <c r="J46" s="54">
        <f t="shared" si="142"/>
        <v>10</v>
      </c>
      <c r="K46" s="54">
        <f t="shared" ref="K46" si="154">+SUM(M46:R46)-Y46</f>
        <v>8713</v>
      </c>
      <c r="L46" s="85" t="s">
        <v>65</v>
      </c>
      <c r="M46" s="73">
        <v>800</v>
      </c>
      <c r="N46" s="29">
        <v>515</v>
      </c>
      <c r="O46" s="29">
        <f>6900-50</f>
        <v>6850</v>
      </c>
      <c r="P46" s="29">
        <f>ROUND(((1000-50-75)/2)+150,0)</f>
        <v>588</v>
      </c>
      <c r="Q46" s="42"/>
      <c r="R46" s="42"/>
      <c r="S46" s="42"/>
      <c r="T46" s="42"/>
      <c r="U46" s="42"/>
      <c r="V46" s="42"/>
      <c r="W46" s="81"/>
      <c r="X46" s="42">
        <v>1</v>
      </c>
      <c r="Y46" s="42">
        <f t="shared" si="144"/>
        <v>40</v>
      </c>
      <c r="Z46" s="59"/>
      <c r="AA46" s="82">
        <f t="shared" si="145"/>
        <v>87130</v>
      </c>
      <c r="AB46" s="83" t="str">
        <f t="shared" si="146"/>
        <v/>
      </c>
      <c r="AC46" s="83" t="str">
        <f t="shared" si="147"/>
        <v/>
      </c>
      <c r="AD46" s="83" t="str">
        <f t="shared" si="148"/>
        <v/>
      </c>
      <c r="AE46" s="83" t="str">
        <f t="shared" si="149"/>
        <v/>
      </c>
      <c r="AF46" s="83">
        <f t="shared" si="150"/>
        <v>87130</v>
      </c>
      <c r="AG46" s="83" t="str">
        <f t="shared" si="151"/>
        <v/>
      </c>
      <c r="AH46" s="84" t="str">
        <f t="shared" si="152"/>
        <v/>
      </c>
    </row>
    <row r="47" spans="1:34" ht="13.8" x14ac:dyDescent="0.25">
      <c r="W47" s="67" t="s">
        <v>56</v>
      </c>
      <c r="X47" s="64"/>
      <c r="Y47" s="62"/>
      <c r="Z47" s="62"/>
      <c r="AA47" s="63">
        <f>SUM(AA7:AA46)</f>
        <v>27188008</v>
      </c>
      <c r="AB47" s="63">
        <f>SUM(AB7:AB44)</f>
        <v>0</v>
      </c>
      <c r="AC47" s="63">
        <f>SUM(AC7:AC44)</f>
        <v>0</v>
      </c>
      <c r="AD47" s="63">
        <f>SUM(AD7:AD44)</f>
        <v>0</v>
      </c>
      <c r="AE47" s="63">
        <f>SUM(AE7:AE44)</f>
        <v>0</v>
      </c>
      <c r="AF47" s="63">
        <f>SUM(AF7:AF46)</f>
        <v>27188008</v>
      </c>
      <c r="AG47" s="63">
        <f>SUM(AG7:AG44)</f>
        <v>0</v>
      </c>
      <c r="AH47" s="63">
        <f>SUM(AH7:AH44)</f>
        <v>0</v>
      </c>
    </row>
    <row r="48" spans="1:34" ht="13.8" x14ac:dyDescent="0.25">
      <c r="W48" s="68" t="s">
        <v>55</v>
      </c>
      <c r="X48" s="65"/>
      <c r="Y48" s="30"/>
      <c r="Z48" s="30"/>
      <c r="AA48" s="30"/>
      <c r="AB48" s="76">
        <v>0.39500000000000002</v>
      </c>
      <c r="AC48" s="76">
        <v>0.61699999999999999</v>
      </c>
      <c r="AD48" s="76">
        <v>0.88900000000000001</v>
      </c>
      <c r="AE48" s="76">
        <v>1.58</v>
      </c>
      <c r="AF48" s="76">
        <v>2.4700000000000002</v>
      </c>
      <c r="AG48" s="76">
        <v>3.8580000000000001</v>
      </c>
      <c r="AH48" s="77">
        <v>6.32</v>
      </c>
    </row>
    <row r="49" spans="6:34" ht="28.2" thickBot="1" x14ac:dyDescent="0.3">
      <c r="F49" s="80"/>
      <c r="H49" s="80"/>
      <c r="J49" s="80"/>
      <c r="W49" s="69" t="s">
        <v>54</v>
      </c>
      <c r="X49" s="65"/>
      <c r="Y49" s="30"/>
      <c r="Z49" s="30"/>
      <c r="AA49" s="59"/>
      <c r="AB49" s="59">
        <f t="shared" ref="AB49:AH49" si="155">+AB47*AB48/1000</f>
        <v>0</v>
      </c>
      <c r="AC49" s="59">
        <f t="shared" si="155"/>
        <v>0</v>
      </c>
      <c r="AD49" s="59">
        <f t="shared" si="155"/>
        <v>0</v>
      </c>
      <c r="AE49" s="59">
        <f t="shared" si="155"/>
        <v>0</v>
      </c>
      <c r="AF49" s="60">
        <f>+AF47*AF48/1000</f>
        <v>67154.379760000011</v>
      </c>
      <c r="AG49" s="60">
        <f t="shared" si="155"/>
        <v>0</v>
      </c>
      <c r="AH49" s="61">
        <f t="shared" si="155"/>
        <v>0</v>
      </c>
    </row>
    <row r="50" spans="6:34" ht="14.4" thickBot="1" x14ac:dyDescent="0.3">
      <c r="F50" s="80"/>
      <c r="H50" s="80"/>
      <c r="J50" s="80"/>
      <c r="W50" s="66" t="s">
        <v>57</v>
      </c>
      <c r="X50" s="51"/>
      <c r="Y50" s="51"/>
      <c r="Z50" s="58"/>
      <c r="AA50" s="149">
        <f>+SUM(AB49:AH49)/1000</f>
        <v>67.154379760000012</v>
      </c>
      <c r="AB50" s="150"/>
      <c r="AC50" s="150"/>
      <c r="AD50" s="150"/>
      <c r="AE50" s="150"/>
      <c r="AF50" s="150"/>
      <c r="AG50" s="150"/>
      <c r="AH50" s="151"/>
    </row>
    <row r="71" spans="12:17" x14ac:dyDescent="0.25">
      <c r="L71" t="s">
        <v>68</v>
      </c>
      <c r="M71">
        <v>300</v>
      </c>
      <c r="N71">
        <v>1193</v>
      </c>
      <c r="O71">
        <v>7450</v>
      </c>
      <c r="P71">
        <v>150</v>
      </c>
      <c r="Q71">
        <v>1000</v>
      </c>
    </row>
    <row r="77" spans="12:17" x14ac:dyDescent="0.25">
      <c r="L77" t="s">
        <v>68</v>
      </c>
      <c r="M77">
        <v>300</v>
      </c>
      <c r="N77">
        <v>1193</v>
      </c>
      <c r="O77">
        <v>7450</v>
      </c>
      <c r="P77">
        <v>150</v>
      </c>
      <c r="Q77">
        <v>1000</v>
      </c>
    </row>
    <row r="85" spans="12:17" x14ac:dyDescent="0.25">
      <c r="L85" t="s">
        <v>68</v>
      </c>
      <c r="M85">
        <v>300</v>
      </c>
      <c r="N85">
        <v>1193</v>
      </c>
      <c r="O85">
        <v>7450</v>
      </c>
      <c r="P85">
        <v>150</v>
      </c>
      <c r="Q85">
        <v>1000</v>
      </c>
    </row>
  </sheetData>
  <mergeCells count="21">
    <mergeCell ref="A1:AH1"/>
    <mergeCell ref="A2:D2"/>
    <mergeCell ref="E2:P2"/>
    <mergeCell ref="Q2:Y2"/>
    <mergeCell ref="Z2:AD2"/>
    <mergeCell ref="AE2:AG2"/>
    <mergeCell ref="A4:D4"/>
    <mergeCell ref="E4:P4"/>
    <mergeCell ref="Q4:Y4"/>
    <mergeCell ref="Z4:AD4"/>
    <mergeCell ref="AE4:AG4"/>
    <mergeCell ref="A3:D3"/>
    <mergeCell ref="E3:P3"/>
    <mergeCell ref="Q3:Y3"/>
    <mergeCell ref="Z3:AD3"/>
    <mergeCell ref="AE3:AG3"/>
    <mergeCell ref="A5:D5"/>
    <mergeCell ref="Q5:Y5"/>
    <mergeCell ref="Z5:AD5"/>
    <mergeCell ref="AE5:AG5"/>
    <mergeCell ref="AA50:AH5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T44"/>
  <sheetViews>
    <sheetView topLeftCell="A26" zoomScale="77" zoomScaleNormal="77" workbookViewId="0">
      <selection activeCell="H38" sqref="H38"/>
    </sheetView>
  </sheetViews>
  <sheetFormatPr defaultRowHeight="13.2" x14ac:dyDescent="0.25"/>
  <cols>
    <col min="1" max="1" width="6" bestFit="1" customWidth="1"/>
    <col min="2" max="2" width="7.5546875" bestFit="1" customWidth="1"/>
    <col min="3" max="3" width="5" bestFit="1" customWidth="1"/>
    <col min="4" max="5" width="8.5546875" bestFit="1" customWidth="1"/>
    <col min="6" max="6" width="17.5546875" bestFit="1" customWidth="1"/>
    <col min="7" max="7" width="7.44140625" customWidth="1"/>
    <col min="8" max="8" width="6.33203125" bestFit="1" customWidth="1"/>
    <col min="9" max="9" width="5.88671875" bestFit="1" customWidth="1"/>
    <col min="10" max="10" width="5.6640625" customWidth="1"/>
    <col min="11" max="11" width="8.5546875" bestFit="1" customWidth="1"/>
    <col min="12" max="12" width="5.6640625" bestFit="1" customWidth="1"/>
    <col min="13" max="13" width="7.6640625" customWidth="1"/>
    <col min="14" max="14" width="5" bestFit="1" customWidth="1"/>
    <col min="15" max="15" width="6.6640625" customWidth="1"/>
    <col min="16" max="16" width="4.33203125" customWidth="1"/>
    <col min="17" max="17" width="3.6640625" customWidth="1"/>
    <col min="18" max="18" width="3.44140625" customWidth="1"/>
    <col min="19" max="20" width="2.44140625" bestFit="1" customWidth="1"/>
    <col min="21" max="21" width="1.88671875" bestFit="1" customWidth="1"/>
    <col min="22" max="22" width="2" bestFit="1" customWidth="1"/>
    <col min="23" max="23" width="23.6640625" customWidth="1"/>
    <col min="24" max="24" width="5.33203125" customWidth="1"/>
  </cols>
  <sheetData>
    <row r="1" spans="1:46" s="34" customFormat="1" ht="40.200000000000003" customHeight="1" x14ac:dyDescent="0.25">
      <c r="A1" s="154" t="s">
        <v>39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6"/>
    </row>
    <row r="2" spans="1:46" s="35" customFormat="1" ht="31.95" customHeight="1" x14ac:dyDescent="0.25">
      <c r="A2" s="144" t="s">
        <v>40</v>
      </c>
      <c r="B2" s="145"/>
      <c r="C2" s="145"/>
      <c r="D2" s="145"/>
      <c r="E2" s="152">
        <v>1</v>
      </c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46" t="s">
        <v>41</v>
      </c>
      <c r="R2" s="146"/>
      <c r="S2" s="146"/>
      <c r="T2" s="146"/>
      <c r="U2" s="146"/>
      <c r="V2" s="146"/>
      <c r="W2" s="146"/>
      <c r="X2" s="146"/>
      <c r="Y2" s="146"/>
      <c r="Z2" s="147" t="s">
        <v>66</v>
      </c>
      <c r="AA2" s="147"/>
      <c r="AB2" s="147"/>
      <c r="AC2" s="147"/>
      <c r="AD2" s="147"/>
      <c r="AE2" s="153" t="s">
        <v>42</v>
      </c>
      <c r="AF2" s="153"/>
      <c r="AG2" s="153"/>
      <c r="AH2" s="44" t="s">
        <v>62</v>
      </c>
    </row>
    <row r="3" spans="1:46" s="34" customFormat="1" ht="26.4" x14ac:dyDescent="0.25">
      <c r="A3" s="144" t="s">
        <v>43</v>
      </c>
      <c r="B3" s="145"/>
      <c r="C3" s="145"/>
      <c r="D3" s="145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46" t="s">
        <v>44</v>
      </c>
      <c r="R3" s="146" t="s">
        <v>45</v>
      </c>
      <c r="S3" s="146"/>
      <c r="T3" s="146"/>
      <c r="U3" s="146"/>
      <c r="V3" s="146"/>
      <c r="W3" s="146"/>
      <c r="X3" s="146"/>
      <c r="Y3" s="146"/>
      <c r="Z3" s="147" t="s">
        <v>60</v>
      </c>
      <c r="AA3" s="147"/>
      <c r="AB3" s="147"/>
      <c r="AC3" s="147"/>
      <c r="AD3" s="147"/>
      <c r="AE3" s="153" t="s">
        <v>51</v>
      </c>
      <c r="AF3" s="153"/>
      <c r="AG3" s="153"/>
      <c r="AH3" s="45" t="s">
        <v>98</v>
      </c>
      <c r="AT3" s="33"/>
    </row>
    <row r="4" spans="1:46" s="34" customFormat="1" ht="14.4" x14ac:dyDescent="0.25">
      <c r="A4" s="144" t="s">
        <v>46</v>
      </c>
      <c r="B4" s="145"/>
      <c r="C4" s="145"/>
      <c r="D4" s="145"/>
      <c r="E4" s="152" t="s">
        <v>59</v>
      </c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46" t="s">
        <v>47</v>
      </c>
      <c r="R4" s="146" t="s">
        <v>47</v>
      </c>
      <c r="S4" s="146"/>
      <c r="T4" s="146"/>
      <c r="U4" s="146"/>
      <c r="V4" s="146"/>
      <c r="W4" s="146"/>
      <c r="X4" s="146"/>
      <c r="Y4" s="146"/>
      <c r="Z4" s="147" t="s">
        <v>61</v>
      </c>
      <c r="AA4" s="147"/>
      <c r="AB4" s="147"/>
      <c r="AC4" s="147"/>
      <c r="AD4" s="147"/>
      <c r="AE4" s="153" t="s">
        <v>48</v>
      </c>
      <c r="AF4" s="153"/>
      <c r="AG4" s="153"/>
      <c r="AH4" s="44"/>
      <c r="AT4" s="33"/>
    </row>
    <row r="5" spans="1:46" s="34" customFormat="1" ht="40.200000000000003" customHeight="1" x14ac:dyDescent="0.3">
      <c r="A5" s="144"/>
      <c r="B5" s="145"/>
      <c r="C5" s="145"/>
      <c r="D5" s="145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146" t="s">
        <v>49</v>
      </c>
      <c r="R5" s="146" t="s">
        <v>49</v>
      </c>
      <c r="S5" s="146"/>
      <c r="T5" s="146"/>
      <c r="U5" s="146"/>
      <c r="V5" s="146"/>
      <c r="W5" s="146"/>
      <c r="X5" s="146"/>
      <c r="Y5" s="146"/>
      <c r="Z5" s="147"/>
      <c r="AA5" s="147"/>
      <c r="AB5" s="147"/>
      <c r="AC5" s="147"/>
      <c r="AD5" s="147"/>
      <c r="AE5" s="148" t="s">
        <v>50</v>
      </c>
      <c r="AF5" s="148"/>
      <c r="AG5" s="148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87" t="s">
        <v>100</v>
      </c>
      <c r="C7" s="42"/>
      <c r="D7" s="42"/>
      <c r="E7" s="42"/>
      <c r="F7" s="42"/>
      <c r="G7" s="42"/>
      <c r="H7" s="42"/>
      <c r="I7" s="42"/>
      <c r="J7" s="42"/>
      <c r="K7" s="54"/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8" si="0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101</v>
      </c>
      <c r="C8" s="42"/>
      <c r="D8" s="42">
        <v>1900</v>
      </c>
      <c r="E8" s="42">
        <v>100</v>
      </c>
      <c r="F8" s="88" t="s">
        <v>123</v>
      </c>
      <c r="G8" s="42">
        <v>12</v>
      </c>
      <c r="H8" s="42">
        <v>1</v>
      </c>
      <c r="I8" s="53">
        <f>(ROUND(((D8-50-50)/E8),0))+1</f>
        <v>19</v>
      </c>
      <c r="J8" s="54">
        <f t="shared" ref="J8" si="1">ROUND(H8*I8,0)</f>
        <v>19</v>
      </c>
      <c r="K8" s="54">
        <f t="shared" ref="K8" si="2">+SUM(M8:R8)-Y8</f>
        <v>7464</v>
      </c>
      <c r="L8" s="41">
        <v>11</v>
      </c>
      <c r="M8" s="29">
        <f>ROUND(((600-50-75)/2)+150,0)</f>
        <v>388</v>
      </c>
      <c r="N8" s="29">
        <f>6600-50+550</f>
        <v>7100</v>
      </c>
      <c r="O8" s="29"/>
      <c r="P8" s="29"/>
      <c r="Q8" s="29"/>
      <c r="R8" s="74"/>
      <c r="S8" s="42"/>
      <c r="T8" s="42"/>
      <c r="U8" s="42"/>
      <c r="V8" s="42"/>
      <c r="W8" s="43"/>
      <c r="X8" s="42">
        <v>1</v>
      </c>
      <c r="Y8" s="42">
        <f t="shared" si="0"/>
        <v>24</v>
      </c>
      <c r="Z8" s="30"/>
      <c r="AA8" s="55">
        <f>+IF(G8="","",J8*K8)</f>
        <v>141816</v>
      </c>
      <c r="AB8" s="56" t="str">
        <f t="shared" ref="AB8" si="3">IF(G8=8,J8*K8,"")</f>
        <v/>
      </c>
      <c r="AC8" s="56" t="str">
        <f t="shared" ref="AC8" si="4">IF(G8=10,J8*K8,"")</f>
        <v/>
      </c>
      <c r="AD8" s="56">
        <f t="shared" ref="AD8" si="5">IF(G8=12,J8*K8,"")</f>
        <v>141816</v>
      </c>
      <c r="AE8" s="56" t="str">
        <f t="shared" ref="AE8" si="6">IF(G8=16,J8*K8,"")</f>
        <v/>
      </c>
      <c r="AF8" s="56" t="str">
        <f t="shared" ref="AF8" si="7">IF(G8=20,J8*K8,"")</f>
        <v/>
      </c>
      <c r="AG8" s="56" t="str">
        <f t="shared" ref="AG8" si="8">IF(G8=25,J8*K8,"")</f>
        <v/>
      </c>
      <c r="AH8" s="57" t="str">
        <f t="shared" ref="AH8" si="9">IF(G8=32,J8*K8,"")</f>
        <v/>
      </c>
    </row>
    <row r="9" spans="1:46" s="33" customFormat="1" ht="40.200000000000003" customHeight="1" x14ac:dyDescent="0.25">
      <c r="A9" s="49">
        <v>3</v>
      </c>
      <c r="B9" s="79" t="s">
        <v>102</v>
      </c>
      <c r="C9" s="42"/>
      <c r="D9" s="42">
        <v>1300</v>
      </c>
      <c r="E9" s="42">
        <v>200</v>
      </c>
      <c r="F9" s="88" t="s">
        <v>123</v>
      </c>
      <c r="G9" s="42">
        <v>12</v>
      </c>
      <c r="H9" s="42">
        <v>1</v>
      </c>
      <c r="I9" s="53">
        <f t="shared" ref="I9:I32" si="10">(ROUND(((D9-50-50)/E9),0))+1</f>
        <v>7</v>
      </c>
      <c r="J9" s="54">
        <f t="shared" ref="J9:J10" si="11">ROUND(H9*I9,0)</f>
        <v>7</v>
      </c>
      <c r="K9" s="54">
        <f t="shared" ref="K9:K10" si="12">+SUM(M9:R9)-Y9</f>
        <v>5100</v>
      </c>
      <c r="L9" s="41">
        <v>0</v>
      </c>
      <c r="M9" s="29">
        <f>4750+350</f>
        <v>5100</v>
      </c>
      <c r="N9" s="29"/>
      <c r="O9" s="29"/>
      <c r="P9" s="29"/>
      <c r="Q9" s="29"/>
      <c r="R9" s="74"/>
      <c r="S9" s="42"/>
      <c r="T9" s="42"/>
      <c r="U9" s="42"/>
      <c r="V9" s="42"/>
      <c r="W9" s="43"/>
      <c r="X9" s="42">
        <v>0</v>
      </c>
      <c r="Y9" s="42">
        <f t="shared" ref="Y9:Y10" si="13">+X9*2*G9</f>
        <v>0</v>
      </c>
      <c r="Z9" s="30"/>
      <c r="AA9" s="55">
        <f t="shared" ref="AA9:AA10" si="14">+IF(G9="","",J9*K9)</f>
        <v>35700</v>
      </c>
      <c r="AB9" s="56" t="str">
        <f t="shared" ref="AB9:AB10" si="15">IF(G9=8,J9*K9,"")</f>
        <v/>
      </c>
      <c r="AC9" s="56" t="str">
        <f t="shared" ref="AC9:AC10" si="16">IF(G9=10,J9*K9,"")</f>
        <v/>
      </c>
      <c r="AD9" s="56">
        <f t="shared" ref="AD9:AD10" si="17">IF(G9=12,J9*K9,"")</f>
        <v>35700</v>
      </c>
      <c r="AE9" s="56" t="str">
        <f t="shared" ref="AE9:AE10" si="18">IF(G9=16,J9*K9,"")</f>
        <v/>
      </c>
      <c r="AF9" s="56" t="str">
        <f t="shared" ref="AF9:AF10" si="19">IF(G9=20,J9*K9,"")</f>
        <v/>
      </c>
      <c r="AG9" s="56" t="str">
        <f t="shared" ref="AG9:AG10" si="20">IF(G9=25,J9*K9,"")</f>
        <v/>
      </c>
      <c r="AH9" s="57" t="str">
        <f t="shared" ref="AH9:AH10" si="21">IF(G9=32,J9*K9,"")</f>
        <v/>
      </c>
    </row>
    <row r="10" spans="1:46" s="33" customFormat="1" ht="40.200000000000003" customHeight="1" x14ac:dyDescent="0.25">
      <c r="A10" s="49">
        <v>4</v>
      </c>
      <c r="B10" s="79" t="s">
        <v>104</v>
      </c>
      <c r="C10" s="42"/>
      <c r="D10" s="42">
        <v>2000</v>
      </c>
      <c r="E10" s="42">
        <v>200</v>
      </c>
      <c r="F10" s="88" t="s">
        <v>123</v>
      </c>
      <c r="G10" s="42">
        <v>20</v>
      </c>
      <c r="H10" s="42">
        <v>1</v>
      </c>
      <c r="I10" s="53">
        <f t="shared" si="10"/>
        <v>11</v>
      </c>
      <c r="J10" s="54">
        <f t="shared" si="11"/>
        <v>11</v>
      </c>
      <c r="K10" s="54">
        <f t="shared" si="12"/>
        <v>7698</v>
      </c>
      <c r="L10" s="41">
        <v>11</v>
      </c>
      <c r="M10" s="29">
        <f>ROUND(((600-50-75)/2)+150,0)</f>
        <v>388</v>
      </c>
      <c r="N10" s="29">
        <f>6600-50+800</f>
        <v>7350</v>
      </c>
      <c r="O10" s="29"/>
      <c r="P10" s="29"/>
      <c r="Q10" s="29"/>
      <c r="R10" s="74"/>
      <c r="S10" s="42"/>
      <c r="T10" s="42"/>
      <c r="U10" s="42"/>
      <c r="V10" s="42"/>
      <c r="W10" s="43"/>
      <c r="X10" s="42">
        <v>1</v>
      </c>
      <c r="Y10" s="42">
        <f t="shared" si="13"/>
        <v>40</v>
      </c>
      <c r="Z10" s="30"/>
      <c r="AA10" s="55">
        <f t="shared" si="14"/>
        <v>84678</v>
      </c>
      <c r="AB10" s="56" t="str">
        <f t="shared" si="15"/>
        <v/>
      </c>
      <c r="AC10" s="56" t="str">
        <f t="shared" si="16"/>
        <v/>
      </c>
      <c r="AD10" s="56" t="str">
        <f t="shared" si="17"/>
        <v/>
      </c>
      <c r="AE10" s="56" t="str">
        <f t="shared" si="18"/>
        <v/>
      </c>
      <c r="AF10" s="56">
        <f t="shared" si="19"/>
        <v>84678</v>
      </c>
      <c r="AG10" s="56" t="str">
        <f t="shared" si="20"/>
        <v/>
      </c>
      <c r="AH10" s="57" t="str">
        <f t="shared" si="21"/>
        <v/>
      </c>
    </row>
    <row r="11" spans="1:46" s="33" customFormat="1" ht="40.200000000000003" customHeight="1" x14ac:dyDescent="0.25">
      <c r="A11" s="49">
        <v>5</v>
      </c>
      <c r="B11" s="79" t="s">
        <v>103</v>
      </c>
      <c r="C11" s="42"/>
      <c r="D11" s="42">
        <v>3701</v>
      </c>
      <c r="E11" s="42">
        <v>200</v>
      </c>
      <c r="F11" s="88" t="s">
        <v>123</v>
      </c>
      <c r="G11" s="42">
        <v>12</v>
      </c>
      <c r="H11" s="42">
        <v>1</v>
      </c>
      <c r="I11" s="53">
        <f t="shared" si="10"/>
        <v>19</v>
      </c>
      <c r="J11" s="54">
        <f t="shared" ref="J11" si="22">ROUND(H11*I11,0)</f>
        <v>19</v>
      </c>
      <c r="K11" s="54">
        <f t="shared" ref="K11" si="23">+SUM(M11:R11)-Y11</f>
        <v>5600</v>
      </c>
      <c r="L11" s="41">
        <v>0</v>
      </c>
      <c r="M11" s="29">
        <f>5250+350</f>
        <v>5600</v>
      </c>
      <c r="N11" s="29"/>
      <c r="O11" s="29"/>
      <c r="P11" s="29"/>
      <c r="Q11" s="29"/>
      <c r="R11" s="74"/>
      <c r="S11" s="42"/>
      <c r="T11" s="42"/>
      <c r="U11" s="42"/>
      <c r="V11" s="42"/>
      <c r="W11" s="43"/>
      <c r="X11" s="42">
        <v>0</v>
      </c>
      <c r="Y11" s="42">
        <f t="shared" ref="Y11" si="24">+X11*2*G11</f>
        <v>0</v>
      </c>
      <c r="Z11" s="30"/>
      <c r="AA11" s="55">
        <f t="shared" ref="AA11" si="25">+IF(G11="","",J11*K11)</f>
        <v>106400</v>
      </c>
      <c r="AB11" s="56" t="str">
        <f t="shared" ref="AB11" si="26">IF(G11=8,J11*K11,"")</f>
        <v/>
      </c>
      <c r="AC11" s="56" t="str">
        <f t="shared" ref="AC11" si="27">IF(G11=10,J11*K11,"")</f>
        <v/>
      </c>
      <c r="AD11" s="56">
        <f t="shared" ref="AD11" si="28">IF(G11=12,J11*K11,"")</f>
        <v>106400</v>
      </c>
      <c r="AE11" s="56" t="str">
        <f t="shared" ref="AE11" si="29">IF(G11=16,J11*K11,"")</f>
        <v/>
      </c>
      <c r="AF11" s="56" t="str">
        <f t="shared" ref="AF11" si="30">IF(G11=20,J11*K11,"")</f>
        <v/>
      </c>
      <c r="AG11" s="56" t="str">
        <f t="shared" ref="AG11" si="31">IF(G11=25,J11*K11,"")</f>
        <v/>
      </c>
      <c r="AH11" s="57" t="str">
        <f t="shared" ref="AH11" si="32">IF(G11=32,J11*K11,"")</f>
        <v/>
      </c>
    </row>
    <row r="12" spans="1:46" s="33" customFormat="1" ht="40.200000000000003" customHeight="1" x14ac:dyDescent="0.25">
      <c r="A12" s="49">
        <v>6</v>
      </c>
      <c r="B12" s="79" t="s">
        <v>105</v>
      </c>
      <c r="C12" s="42"/>
      <c r="D12" s="42">
        <v>2000</v>
      </c>
      <c r="E12" s="42">
        <v>200</v>
      </c>
      <c r="F12" s="88" t="s">
        <v>123</v>
      </c>
      <c r="G12" s="42">
        <v>16</v>
      </c>
      <c r="H12" s="42">
        <v>1</v>
      </c>
      <c r="I12" s="53">
        <f t="shared" si="10"/>
        <v>11</v>
      </c>
      <c r="J12" s="54">
        <f t="shared" ref="J12" si="33">ROUND(H12*I12,0)</f>
        <v>11</v>
      </c>
      <c r="K12" s="54">
        <f t="shared" ref="K12" si="34">+SUM(M12:R12)-Y12</f>
        <v>5350</v>
      </c>
      <c r="L12" s="41">
        <v>0</v>
      </c>
      <c r="M12" s="29">
        <f>1000+3700+650</f>
        <v>5350</v>
      </c>
      <c r="N12" s="29"/>
      <c r="O12" s="29"/>
      <c r="P12" s="29"/>
      <c r="Q12" s="29"/>
      <c r="R12" s="74"/>
      <c r="S12" s="42"/>
      <c r="T12" s="42"/>
      <c r="U12" s="42"/>
      <c r="V12" s="42"/>
      <c r="W12" s="43"/>
      <c r="X12" s="42">
        <v>0</v>
      </c>
      <c r="Y12" s="42">
        <f t="shared" ref="Y12" si="35">+X12*2*G12</f>
        <v>0</v>
      </c>
      <c r="Z12" s="30"/>
      <c r="AA12" s="55">
        <f t="shared" ref="AA12" si="36">+IF(G12="","",J12*K12)</f>
        <v>58850</v>
      </c>
      <c r="AB12" s="56" t="str">
        <f t="shared" ref="AB12" si="37">IF(G12=8,J12*K12,"")</f>
        <v/>
      </c>
      <c r="AC12" s="56" t="str">
        <f t="shared" ref="AC12" si="38">IF(G12=10,J12*K12,"")</f>
        <v/>
      </c>
      <c r="AD12" s="56" t="str">
        <f t="shared" ref="AD12" si="39">IF(G12=12,J12*K12,"")</f>
        <v/>
      </c>
      <c r="AE12" s="56">
        <f t="shared" ref="AE12" si="40">IF(G12=16,J12*K12,"")</f>
        <v>58850</v>
      </c>
      <c r="AF12" s="56" t="str">
        <f t="shared" ref="AF12" si="41">IF(G12=20,J12*K12,"")</f>
        <v/>
      </c>
      <c r="AG12" s="56" t="str">
        <f t="shared" ref="AG12" si="42">IF(G12=25,J12*K12,"")</f>
        <v/>
      </c>
      <c r="AH12" s="57" t="str">
        <f t="shared" ref="AH12" si="43">IF(G12=32,J12*K12,"")</f>
        <v/>
      </c>
    </row>
    <row r="13" spans="1:46" s="33" customFormat="1" ht="40.200000000000003" customHeight="1" x14ac:dyDescent="0.25">
      <c r="A13" s="49">
        <v>7</v>
      </c>
      <c r="B13" s="79" t="s">
        <v>106</v>
      </c>
      <c r="C13" s="42"/>
      <c r="D13" s="42">
        <v>3700</v>
      </c>
      <c r="E13" s="42">
        <v>200</v>
      </c>
      <c r="F13" s="88" t="s">
        <v>123</v>
      </c>
      <c r="G13" s="42">
        <v>12</v>
      </c>
      <c r="H13" s="42">
        <v>1</v>
      </c>
      <c r="I13" s="53">
        <f t="shared" si="10"/>
        <v>19</v>
      </c>
      <c r="J13" s="54">
        <f t="shared" ref="J13:J14" si="44">ROUND(H13*I13,0)</f>
        <v>19</v>
      </c>
      <c r="K13" s="54">
        <f t="shared" ref="K13:K14" si="45">+SUM(M13:R13)-Y13</f>
        <v>5600</v>
      </c>
      <c r="L13" s="41">
        <v>0</v>
      </c>
      <c r="M13" s="29">
        <f>5250+350</f>
        <v>5600</v>
      </c>
      <c r="N13" s="29"/>
      <c r="O13" s="29"/>
      <c r="P13" s="29"/>
      <c r="Q13" s="29"/>
      <c r="R13" s="74"/>
      <c r="S13" s="42"/>
      <c r="T13" s="42"/>
      <c r="U13" s="42"/>
      <c r="V13" s="42"/>
      <c r="W13" s="43"/>
      <c r="X13" s="42">
        <v>0</v>
      </c>
      <c r="Y13" s="42">
        <f t="shared" ref="Y13:Y14" si="46">+X13*2*G13</f>
        <v>0</v>
      </c>
      <c r="Z13" s="30"/>
      <c r="AA13" s="55">
        <f t="shared" ref="AA13:AA14" si="47">+IF(G13="","",J13*K13)</f>
        <v>106400</v>
      </c>
      <c r="AB13" s="56" t="str">
        <f t="shared" ref="AB13:AB14" si="48">IF(G13=8,J13*K13,"")</f>
        <v/>
      </c>
      <c r="AC13" s="56" t="str">
        <f t="shared" ref="AC13:AC14" si="49">IF(G13=10,J13*K13,"")</f>
        <v/>
      </c>
      <c r="AD13" s="56">
        <f t="shared" ref="AD13:AD14" si="50">IF(G13=12,J13*K13,"")</f>
        <v>106400</v>
      </c>
      <c r="AE13" s="56" t="str">
        <f t="shared" ref="AE13:AE14" si="51">IF(G13=16,J13*K13,"")</f>
        <v/>
      </c>
      <c r="AF13" s="56" t="str">
        <f t="shared" ref="AF13:AF14" si="52">IF(G13=20,J13*K13,"")</f>
        <v/>
      </c>
      <c r="AG13" s="56" t="str">
        <f t="shared" ref="AG13:AG14" si="53">IF(G13=25,J13*K13,"")</f>
        <v/>
      </c>
      <c r="AH13" s="57" t="str">
        <f t="shared" ref="AH13:AH14" si="54">IF(G13=32,J13*K13,"")</f>
        <v/>
      </c>
    </row>
    <row r="14" spans="1:46" s="33" customFormat="1" ht="40.200000000000003" customHeight="1" x14ac:dyDescent="0.25">
      <c r="A14" s="49">
        <v>8</v>
      </c>
      <c r="B14" s="79" t="s">
        <v>107</v>
      </c>
      <c r="C14" s="42"/>
      <c r="D14" s="42">
        <v>2000</v>
      </c>
      <c r="E14" s="42">
        <v>200</v>
      </c>
      <c r="F14" s="88" t="s">
        <v>123</v>
      </c>
      <c r="G14" s="42">
        <v>16</v>
      </c>
      <c r="H14" s="42">
        <v>1</v>
      </c>
      <c r="I14" s="53">
        <f t="shared" si="10"/>
        <v>11</v>
      </c>
      <c r="J14" s="54">
        <f t="shared" si="44"/>
        <v>11</v>
      </c>
      <c r="K14" s="54">
        <f t="shared" si="45"/>
        <v>5350</v>
      </c>
      <c r="L14" s="41">
        <v>0</v>
      </c>
      <c r="M14" s="29">
        <f>1000+3700+650</f>
        <v>5350</v>
      </c>
      <c r="N14" s="29"/>
      <c r="O14" s="29"/>
      <c r="P14" s="29"/>
      <c r="Q14" s="29"/>
      <c r="R14" s="74"/>
      <c r="S14" s="42"/>
      <c r="T14" s="42"/>
      <c r="U14" s="42"/>
      <c r="V14" s="42"/>
      <c r="W14" s="43"/>
      <c r="X14" s="42">
        <v>0</v>
      </c>
      <c r="Y14" s="42">
        <f t="shared" si="46"/>
        <v>0</v>
      </c>
      <c r="Z14" s="30"/>
      <c r="AA14" s="55">
        <f t="shared" si="47"/>
        <v>58850</v>
      </c>
      <c r="AB14" s="56" t="str">
        <f t="shared" si="48"/>
        <v/>
      </c>
      <c r="AC14" s="56" t="str">
        <f t="shared" si="49"/>
        <v/>
      </c>
      <c r="AD14" s="56" t="str">
        <f t="shared" si="50"/>
        <v/>
      </c>
      <c r="AE14" s="56">
        <f t="shared" si="51"/>
        <v>58850</v>
      </c>
      <c r="AF14" s="56" t="str">
        <f t="shared" si="52"/>
        <v/>
      </c>
      <c r="AG14" s="56" t="str">
        <f t="shared" si="53"/>
        <v/>
      </c>
      <c r="AH14" s="57" t="str">
        <f t="shared" si="54"/>
        <v/>
      </c>
    </row>
    <row r="15" spans="1:46" s="33" customFormat="1" ht="40.200000000000003" customHeight="1" x14ac:dyDescent="0.25">
      <c r="A15" s="49">
        <v>9</v>
      </c>
      <c r="B15" s="79" t="s">
        <v>108</v>
      </c>
      <c r="C15" s="42"/>
      <c r="D15" s="42">
        <v>4900</v>
      </c>
      <c r="E15" s="42">
        <v>200</v>
      </c>
      <c r="F15" s="88" t="s">
        <v>123</v>
      </c>
      <c r="G15" s="42">
        <v>12</v>
      </c>
      <c r="H15" s="42">
        <v>1</v>
      </c>
      <c r="I15" s="53">
        <f t="shared" si="10"/>
        <v>25</v>
      </c>
      <c r="J15" s="54">
        <f t="shared" ref="J15:J17" si="55">ROUND(H15*I15,0)</f>
        <v>25</v>
      </c>
      <c r="K15" s="54">
        <f t="shared" ref="K15:K17" si="56">+SUM(M15:R15)-Y15</f>
        <v>5450</v>
      </c>
      <c r="L15" s="41">
        <v>0</v>
      </c>
      <c r="M15" s="29">
        <v>5450</v>
      </c>
      <c r="N15" s="29"/>
      <c r="O15" s="29"/>
      <c r="P15" s="29"/>
      <c r="Q15" s="29"/>
      <c r="R15" s="74"/>
      <c r="S15" s="42"/>
      <c r="T15" s="42"/>
      <c r="U15" s="42"/>
      <c r="V15" s="42"/>
      <c r="W15" s="43"/>
      <c r="X15" s="42">
        <v>0</v>
      </c>
      <c r="Y15" s="42">
        <f t="shared" ref="Y15:Y17" si="57">+X15*2*G15</f>
        <v>0</v>
      </c>
      <c r="Z15" s="30"/>
      <c r="AA15" s="55">
        <f t="shared" ref="AA15:AA17" si="58">+IF(G15="","",J15*K15)</f>
        <v>136250</v>
      </c>
      <c r="AB15" s="56" t="str">
        <f t="shared" ref="AB15:AB17" si="59">IF(G15=8,J15*K15,"")</f>
        <v/>
      </c>
      <c r="AC15" s="56" t="str">
        <f t="shared" ref="AC15:AC17" si="60">IF(G15=10,J15*K15,"")</f>
        <v/>
      </c>
      <c r="AD15" s="56">
        <f t="shared" ref="AD15:AD17" si="61">IF(G15=12,J15*K15,"")</f>
        <v>136250</v>
      </c>
      <c r="AE15" s="56" t="str">
        <f t="shared" ref="AE15:AE17" si="62">IF(G15=16,J15*K15,"")</f>
        <v/>
      </c>
      <c r="AF15" s="56" t="str">
        <f t="shared" ref="AF15:AF17" si="63">IF(G15=20,J15*K15,"")</f>
        <v/>
      </c>
      <c r="AG15" s="56" t="str">
        <f t="shared" ref="AG15:AG17" si="64">IF(G15=25,J15*K15,"")</f>
        <v/>
      </c>
      <c r="AH15" s="57" t="str">
        <f t="shared" ref="AH15:AH17" si="65">IF(G15=32,J15*K15,"")</f>
        <v/>
      </c>
    </row>
    <row r="16" spans="1:46" s="33" customFormat="1" ht="40.200000000000003" customHeight="1" x14ac:dyDescent="0.25">
      <c r="A16" s="49">
        <v>10</v>
      </c>
      <c r="B16" s="79" t="s">
        <v>109</v>
      </c>
      <c r="C16" s="42"/>
      <c r="D16" s="42">
        <v>2000</v>
      </c>
      <c r="E16" s="42">
        <v>200</v>
      </c>
      <c r="F16" s="88" t="s">
        <v>123</v>
      </c>
      <c r="G16" s="42">
        <v>16</v>
      </c>
      <c r="H16" s="42">
        <v>1</v>
      </c>
      <c r="I16" s="53">
        <f t="shared" si="10"/>
        <v>11</v>
      </c>
      <c r="J16" s="54">
        <f t="shared" si="55"/>
        <v>11</v>
      </c>
      <c r="K16" s="54">
        <f t="shared" si="56"/>
        <v>5350</v>
      </c>
      <c r="L16" s="41">
        <v>0</v>
      </c>
      <c r="M16" s="29">
        <f>1000+3700+650</f>
        <v>5350</v>
      </c>
      <c r="N16" s="29"/>
      <c r="O16" s="29"/>
      <c r="P16" s="29"/>
      <c r="Q16" s="29"/>
      <c r="R16" s="74"/>
      <c r="S16" s="42"/>
      <c r="T16" s="42"/>
      <c r="U16" s="42"/>
      <c r="V16" s="42"/>
      <c r="W16" s="43"/>
      <c r="X16" s="42">
        <v>0</v>
      </c>
      <c r="Y16" s="42">
        <f t="shared" si="57"/>
        <v>0</v>
      </c>
      <c r="Z16" s="30"/>
      <c r="AA16" s="55">
        <f t="shared" si="58"/>
        <v>58850</v>
      </c>
      <c r="AB16" s="56" t="str">
        <f t="shared" si="59"/>
        <v/>
      </c>
      <c r="AC16" s="56" t="str">
        <f t="shared" si="60"/>
        <v/>
      </c>
      <c r="AD16" s="56" t="str">
        <f t="shared" si="61"/>
        <v/>
      </c>
      <c r="AE16" s="56">
        <f t="shared" si="62"/>
        <v>58850</v>
      </c>
      <c r="AF16" s="56" t="str">
        <f t="shared" si="63"/>
        <v/>
      </c>
      <c r="AG16" s="56" t="str">
        <f t="shared" si="64"/>
        <v/>
      </c>
      <c r="AH16" s="57" t="str">
        <f t="shared" si="65"/>
        <v/>
      </c>
    </row>
    <row r="17" spans="1:34" s="33" customFormat="1" ht="40.200000000000003" customHeight="1" x14ac:dyDescent="0.25">
      <c r="A17" s="49">
        <v>11</v>
      </c>
      <c r="B17" s="89" t="s">
        <v>110</v>
      </c>
      <c r="C17" s="42"/>
      <c r="D17" s="42">
        <v>3500</v>
      </c>
      <c r="E17" s="42">
        <v>200</v>
      </c>
      <c r="F17" s="88" t="s">
        <v>123</v>
      </c>
      <c r="G17" s="42">
        <v>25</v>
      </c>
      <c r="H17" s="42">
        <v>1</v>
      </c>
      <c r="I17" s="53">
        <f t="shared" si="10"/>
        <v>18</v>
      </c>
      <c r="J17" s="54">
        <f t="shared" si="55"/>
        <v>18</v>
      </c>
      <c r="K17" s="54">
        <f t="shared" si="56"/>
        <v>8188</v>
      </c>
      <c r="L17" s="41">
        <v>11</v>
      </c>
      <c r="M17" s="29">
        <f>ROUND(((600-50-75)/2)+150,0)</f>
        <v>388</v>
      </c>
      <c r="N17" s="29">
        <f>7100-50+800</f>
        <v>7850</v>
      </c>
      <c r="O17" s="29"/>
      <c r="P17" s="29"/>
      <c r="Q17" s="29"/>
      <c r="R17" s="74"/>
      <c r="S17" s="42"/>
      <c r="T17" s="42"/>
      <c r="U17" s="42"/>
      <c r="V17" s="42"/>
      <c r="W17" s="43"/>
      <c r="X17" s="42">
        <v>1</v>
      </c>
      <c r="Y17" s="42">
        <f t="shared" si="57"/>
        <v>50</v>
      </c>
      <c r="Z17" s="30"/>
      <c r="AA17" s="55">
        <f t="shared" si="58"/>
        <v>147384</v>
      </c>
      <c r="AB17" s="56" t="str">
        <f t="shared" si="59"/>
        <v/>
      </c>
      <c r="AC17" s="56" t="str">
        <f t="shared" si="60"/>
        <v/>
      </c>
      <c r="AD17" s="56" t="str">
        <f t="shared" si="61"/>
        <v/>
      </c>
      <c r="AE17" s="56" t="str">
        <f t="shared" si="62"/>
        <v/>
      </c>
      <c r="AF17" s="56" t="str">
        <f t="shared" si="63"/>
        <v/>
      </c>
      <c r="AG17" s="56">
        <f t="shared" si="64"/>
        <v>147384</v>
      </c>
      <c r="AH17" s="57" t="str">
        <f t="shared" si="65"/>
        <v/>
      </c>
    </row>
    <row r="18" spans="1:34" s="33" customFormat="1" ht="40.200000000000003" customHeight="1" x14ac:dyDescent="0.25">
      <c r="A18" s="49">
        <v>12</v>
      </c>
      <c r="B18" s="89" t="s">
        <v>111</v>
      </c>
      <c r="C18" s="42"/>
      <c r="D18" s="42">
        <v>7350</v>
      </c>
      <c r="E18" s="42">
        <v>200</v>
      </c>
      <c r="F18" s="88" t="s">
        <v>123</v>
      </c>
      <c r="G18" s="42">
        <v>12</v>
      </c>
      <c r="H18" s="42">
        <v>1</v>
      </c>
      <c r="I18" s="53">
        <f t="shared" si="10"/>
        <v>37</v>
      </c>
      <c r="J18" s="54">
        <f t="shared" ref="J18:J19" si="66">ROUND(H18*I18,0)</f>
        <v>37</v>
      </c>
      <c r="K18" s="54">
        <f t="shared" ref="K18:K19" si="67">+SUM(M18:R18)-Y18</f>
        <v>7764</v>
      </c>
      <c r="L18" s="41">
        <v>11</v>
      </c>
      <c r="M18" s="29">
        <f>ROUND(((600-50-75)/2)+150,0)</f>
        <v>388</v>
      </c>
      <c r="N18" s="29">
        <f>7100-50+350</f>
        <v>7400</v>
      </c>
      <c r="O18" s="29"/>
      <c r="P18" s="29"/>
      <c r="Q18" s="29"/>
      <c r="R18" s="74"/>
      <c r="S18" s="42"/>
      <c r="T18" s="42"/>
      <c r="U18" s="42"/>
      <c r="V18" s="42"/>
      <c r="W18" s="43"/>
      <c r="X18" s="42">
        <v>1</v>
      </c>
      <c r="Y18" s="42">
        <f t="shared" ref="Y18:Y19" si="68">+X18*2*G18</f>
        <v>24</v>
      </c>
      <c r="Z18" s="30"/>
      <c r="AA18" s="55">
        <f t="shared" ref="AA18:AA19" si="69">+IF(G18="","",J18*K18)</f>
        <v>287268</v>
      </c>
      <c r="AB18" s="56" t="str">
        <f t="shared" ref="AB18:AB19" si="70">IF(G18=8,J18*K18,"")</f>
        <v/>
      </c>
      <c r="AC18" s="56" t="str">
        <f t="shared" ref="AC18:AC19" si="71">IF(G18=10,J18*K18,"")</f>
        <v/>
      </c>
      <c r="AD18" s="56">
        <f t="shared" ref="AD18:AD19" si="72">IF(G18=12,J18*K18,"")</f>
        <v>287268</v>
      </c>
      <c r="AE18" s="56" t="str">
        <f t="shared" ref="AE18:AE19" si="73">IF(G18=16,J18*K18,"")</f>
        <v/>
      </c>
      <c r="AF18" s="56" t="str">
        <f t="shared" ref="AF18:AF19" si="74">IF(G18=20,J18*K18,"")</f>
        <v/>
      </c>
      <c r="AG18" s="56" t="str">
        <f t="shared" ref="AG18:AG19" si="75">IF(G18=25,J18*K18,"")</f>
        <v/>
      </c>
      <c r="AH18" s="57" t="str">
        <f t="shared" ref="AH18:AH19" si="76">IF(G18=32,J18*K18,"")</f>
        <v/>
      </c>
    </row>
    <row r="19" spans="1:34" s="33" customFormat="1" ht="40.200000000000003" customHeight="1" x14ac:dyDescent="0.25">
      <c r="A19" s="49">
        <v>13</v>
      </c>
      <c r="B19" s="89" t="s">
        <v>112</v>
      </c>
      <c r="C19" s="42"/>
      <c r="D19" s="42">
        <v>4000</v>
      </c>
      <c r="E19" s="42">
        <v>200</v>
      </c>
      <c r="F19" s="88" t="s">
        <v>123</v>
      </c>
      <c r="G19" s="42">
        <v>25</v>
      </c>
      <c r="H19" s="42">
        <v>1</v>
      </c>
      <c r="I19" s="53">
        <f t="shared" si="10"/>
        <v>21</v>
      </c>
      <c r="J19" s="54">
        <f t="shared" si="66"/>
        <v>21</v>
      </c>
      <c r="K19" s="54">
        <f t="shared" si="67"/>
        <v>6950</v>
      </c>
      <c r="L19" s="41">
        <v>0</v>
      </c>
      <c r="M19" s="29">
        <f>1500+4650+800</f>
        <v>6950</v>
      </c>
      <c r="N19" s="29"/>
      <c r="O19" s="29"/>
      <c r="P19" s="29"/>
      <c r="Q19" s="29"/>
      <c r="R19" s="74"/>
      <c r="S19" s="42"/>
      <c r="T19" s="42"/>
      <c r="U19" s="42"/>
      <c r="V19" s="42"/>
      <c r="W19" s="43"/>
      <c r="X19" s="42">
        <v>0</v>
      </c>
      <c r="Y19" s="42">
        <f t="shared" si="68"/>
        <v>0</v>
      </c>
      <c r="Z19" s="30"/>
      <c r="AA19" s="55">
        <f t="shared" si="69"/>
        <v>145950</v>
      </c>
      <c r="AB19" s="56" t="str">
        <f t="shared" si="70"/>
        <v/>
      </c>
      <c r="AC19" s="56" t="str">
        <f t="shared" si="71"/>
        <v/>
      </c>
      <c r="AD19" s="56" t="str">
        <f t="shared" si="72"/>
        <v/>
      </c>
      <c r="AE19" s="56" t="str">
        <f t="shared" si="73"/>
        <v/>
      </c>
      <c r="AF19" s="56" t="str">
        <f t="shared" si="74"/>
        <v/>
      </c>
      <c r="AG19" s="56">
        <f t="shared" si="75"/>
        <v>145950</v>
      </c>
      <c r="AH19" s="57" t="str">
        <f t="shared" si="76"/>
        <v/>
      </c>
    </row>
    <row r="20" spans="1:34" s="33" customFormat="1" ht="40.200000000000003" customHeight="1" x14ac:dyDescent="0.25">
      <c r="A20" s="49">
        <v>14</v>
      </c>
      <c r="B20" s="89" t="s">
        <v>113</v>
      </c>
      <c r="C20" s="42"/>
      <c r="D20" s="42">
        <v>5250</v>
      </c>
      <c r="E20" s="42">
        <v>200</v>
      </c>
      <c r="F20" s="88" t="s">
        <v>123</v>
      </c>
      <c r="G20" s="42">
        <v>12</v>
      </c>
      <c r="H20" s="42">
        <v>1</v>
      </c>
      <c r="I20" s="53">
        <f t="shared" si="10"/>
        <v>27</v>
      </c>
      <c r="J20" s="54">
        <f t="shared" ref="J20" si="77">ROUND(H20*I20,0)</f>
        <v>27</v>
      </c>
      <c r="K20" s="54">
        <f t="shared" ref="K20" si="78">+SUM(M20:R20)-Y20</f>
        <v>5700</v>
      </c>
      <c r="L20" s="41">
        <v>0</v>
      </c>
      <c r="M20" s="29">
        <f>5350+350</f>
        <v>5700</v>
      </c>
      <c r="N20" s="29"/>
      <c r="O20" s="29"/>
      <c r="P20" s="29"/>
      <c r="Q20" s="29"/>
      <c r="R20" s="74"/>
      <c r="S20" s="42"/>
      <c r="T20" s="42"/>
      <c r="U20" s="42"/>
      <c r="V20" s="42"/>
      <c r="W20" s="43"/>
      <c r="X20" s="42">
        <v>0</v>
      </c>
      <c r="Y20" s="42">
        <f t="shared" ref="Y20" si="79">+X20*2*G20</f>
        <v>0</v>
      </c>
      <c r="Z20" s="30"/>
      <c r="AA20" s="55">
        <f t="shared" ref="AA20" si="80">+IF(G20="","",J20*K20)</f>
        <v>153900</v>
      </c>
      <c r="AB20" s="56" t="str">
        <f t="shared" ref="AB20" si="81">IF(G20=8,J20*K20,"")</f>
        <v/>
      </c>
      <c r="AC20" s="56" t="str">
        <f t="shared" ref="AC20" si="82">IF(G20=10,J20*K20,"")</f>
        <v/>
      </c>
      <c r="AD20" s="56">
        <f t="shared" ref="AD20" si="83">IF(G20=12,J20*K20,"")</f>
        <v>153900</v>
      </c>
      <c r="AE20" s="56" t="str">
        <f t="shared" ref="AE20" si="84">IF(G20=16,J20*K20,"")</f>
        <v/>
      </c>
      <c r="AF20" s="56" t="str">
        <f t="shared" ref="AF20" si="85">IF(G20=20,J20*K20,"")</f>
        <v/>
      </c>
      <c r="AG20" s="56" t="str">
        <f t="shared" ref="AG20" si="86">IF(G20=25,J20*K20,"")</f>
        <v/>
      </c>
      <c r="AH20" s="57" t="str">
        <f t="shared" ref="AH20" si="87">IF(G20=32,J20*K20,"")</f>
        <v/>
      </c>
    </row>
    <row r="21" spans="1:34" s="33" customFormat="1" ht="40.200000000000003" customHeight="1" x14ac:dyDescent="0.25">
      <c r="A21" s="49">
        <v>15</v>
      </c>
      <c r="B21" s="89" t="s">
        <v>114</v>
      </c>
      <c r="C21" s="42"/>
      <c r="D21" s="42">
        <v>3500</v>
      </c>
      <c r="E21" s="42">
        <v>200</v>
      </c>
      <c r="F21" s="88" t="s">
        <v>123</v>
      </c>
      <c r="G21" s="42">
        <v>25</v>
      </c>
      <c r="H21" s="42">
        <v>1</v>
      </c>
      <c r="I21" s="53">
        <f t="shared" si="10"/>
        <v>18</v>
      </c>
      <c r="J21" s="54">
        <f t="shared" ref="J21:J22" si="88">ROUND(H21*I21,0)</f>
        <v>18</v>
      </c>
      <c r="K21" s="54">
        <f t="shared" ref="K21:K22" si="89">+SUM(M21:R21)-Y21</f>
        <v>6940</v>
      </c>
      <c r="L21" s="41">
        <v>0</v>
      </c>
      <c r="M21" s="29">
        <f>5990+1000-50</f>
        <v>6940</v>
      </c>
      <c r="N21" s="29"/>
      <c r="O21" s="29"/>
      <c r="P21" s="29"/>
      <c r="Q21" s="29"/>
      <c r="R21" s="74"/>
      <c r="S21" s="42"/>
      <c r="T21" s="42"/>
      <c r="U21" s="42"/>
      <c r="V21" s="42"/>
      <c r="W21" s="43"/>
      <c r="X21" s="42">
        <v>0</v>
      </c>
      <c r="Y21" s="42">
        <f t="shared" ref="Y21:Y22" si="90">+X21*2*G21</f>
        <v>0</v>
      </c>
      <c r="Z21" s="30"/>
      <c r="AA21" s="55">
        <f t="shared" ref="AA21:AA22" si="91">+IF(G21="","",J21*K21)</f>
        <v>124920</v>
      </c>
      <c r="AB21" s="56" t="str">
        <f t="shared" ref="AB21:AB22" si="92">IF(G21=8,J21*K21,"")</f>
        <v/>
      </c>
      <c r="AC21" s="56" t="str">
        <f t="shared" ref="AC21:AC22" si="93">IF(G21=10,J21*K21,"")</f>
        <v/>
      </c>
      <c r="AD21" s="56" t="str">
        <f t="shared" ref="AD21:AD22" si="94">IF(G21=12,J21*K21,"")</f>
        <v/>
      </c>
      <c r="AE21" s="56" t="str">
        <f t="shared" ref="AE21:AE22" si="95">IF(G21=16,J21*K21,"")</f>
        <v/>
      </c>
      <c r="AF21" s="56" t="str">
        <f t="shared" ref="AF21:AF22" si="96">IF(G21=20,J21*K21,"")</f>
        <v/>
      </c>
      <c r="AG21" s="56">
        <f t="shared" ref="AG21:AG22" si="97">IF(G21=25,J21*K21,"")</f>
        <v>124920</v>
      </c>
      <c r="AH21" s="57" t="str">
        <f t="shared" ref="AH21:AH22" si="98">IF(G21=32,J21*K21,"")</f>
        <v/>
      </c>
    </row>
    <row r="22" spans="1:34" s="33" customFormat="1" ht="40.200000000000003" customHeight="1" x14ac:dyDescent="0.25">
      <c r="A22" s="49">
        <v>16</v>
      </c>
      <c r="B22" s="89" t="s">
        <v>115</v>
      </c>
      <c r="C22" s="42"/>
      <c r="D22" s="42">
        <v>5250</v>
      </c>
      <c r="E22" s="42">
        <v>200</v>
      </c>
      <c r="F22" s="88" t="s">
        <v>123</v>
      </c>
      <c r="G22" s="42">
        <v>12</v>
      </c>
      <c r="H22" s="42">
        <v>1</v>
      </c>
      <c r="I22" s="53">
        <f t="shared" si="10"/>
        <v>27</v>
      </c>
      <c r="J22" s="54">
        <f t="shared" si="88"/>
        <v>27</v>
      </c>
      <c r="K22" s="54">
        <f t="shared" si="89"/>
        <v>1850</v>
      </c>
      <c r="L22" s="41">
        <v>0</v>
      </c>
      <c r="M22" s="29">
        <f>1500+350</f>
        <v>1850</v>
      </c>
      <c r="N22" s="29"/>
      <c r="O22" s="29"/>
      <c r="P22" s="29"/>
      <c r="Q22" s="29"/>
      <c r="R22" s="74"/>
      <c r="S22" s="42"/>
      <c r="T22" s="42"/>
      <c r="U22" s="42"/>
      <c r="V22" s="42"/>
      <c r="W22" s="43"/>
      <c r="X22" s="42">
        <v>0</v>
      </c>
      <c r="Y22" s="42">
        <f t="shared" si="90"/>
        <v>0</v>
      </c>
      <c r="Z22" s="30"/>
      <c r="AA22" s="55">
        <f t="shared" si="91"/>
        <v>49950</v>
      </c>
      <c r="AB22" s="56" t="str">
        <f t="shared" si="92"/>
        <v/>
      </c>
      <c r="AC22" s="56" t="str">
        <f t="shared" si="93"/>
        <v/>
      </c>
      <c r="AD22" s="56">
        <f t="shared" si="94"/>
        <v>49950</v>
      </c>
      <c r="AE22" s="56" t="str">
        <f t="shared" si="95"/>
        <v/>
      </c>
      <c r="AF22" s="56" t="str">
        <f t="shared" si="96"/>
        <v/>
      </c>
      <c r="AG22" s="56" t="str">
        <f t="shared" si="97"/>
        <v/>
      </c>
      <c r="AH22" s="57" t="str">
        <f t="shared" si="98"/>
        <v/>
      </c>
    </row>
    <row r="23" spans="1:34" s="33" customFormat="1" ht="40.200000000000003" customHeight="1" x14ac:dyDescent="0.25">
      <c r="A23" s="49">
        <v>17</v>
      </c>
      <c r="B23" s="89" t="s">
        <v>116</v>
      </c>
      <c r="C23" s="42"/>
      <c r="D23" s="42">
        <v>3500</v>
      </c>
      <c r="E23" s="42">
        <v>200</v>
      </c>
      <c r="F23" s="88" t="s">
        <v>123</v>
      </c>
      <c r="G23" s="42">
        <v>25</v>
      </c>
      <c r="H23" s="42">
        <v>1</v>
      </c>
      <c r="I23" s="53">
        <f t="shared" si="10"/>
        <v>18</v>
      </c>
      <c r="J23" s="54">
        <f t="shared" ref="J23:J24" si="99">ROUND(H23*I23,0)</f>
        <v>18</v>
      </c>
      <c r="K23" s="54">
        <f t="shared" ref="K23:K24" si="100">+SUM(M23:R23)-Y23</f>
        <v>6750</v>
      </c>
      <c r="L23" s="41">
        <v>0</v>
      </c>
      <c r="M23" s="29">
        <f>5750+1000</f>
        <v>6750</v>
      </c>
      <c r="N23" s="29"/>
      <c r="O23" s="29"/>
      <c r="P23" s="29"/>
      <c r="Q23" s="29"/>
      <c r="R23" s="74"/>
      <c r="S23" s="42"/>
      <c r="T23" s="42"/>
      <c r="U23" s="42"/>
      <c r="V23" s="42"/>
      <c r="W23" s="43"/>
      <c r="X23" s="42">
        <v>0</v>
      </c>
      <c r="Y23" s="42">
        <f t="shared" ref="Y23:Y24" si="101">+X23*2*G23</f>
        <v>0</v>
      </c>
      <c r="Z23" s="30"/>
      <c r="AA23" s="55">
        <f t="shared" ref="AA23:AA24" si="102">+IF(G23="","",J23*K23)</f>
        <v>121500</v>
      </c>
      <c r="AB23" s="56" t="str">
        <f t="shared" ref="AB23:AB24" si="103">IF(G23=8,J23*K23,"")</f>
        <v/>
      </c>
      <c r="AC23" s="56" t="str">
        <f t="shared" ref="AC23:AC24" si="104">IF(G23=10,J23*K23,"")</f>
        <v/>
      </c>
      <c r="AD23" s="56" t="str">
        <f t="shared" ref="AD23:AD24" si="105">IF(G23=12,J23*K23,"")</f>
        <v/>
      </c>
      <c r="AE23" s="56" t="str">
        <f t="shared" ref="AE23:AE24" si="106">IF(G23=16,J23*K23,"")</f>
        <v/>
      </c>
      <c r="AF23" s="56" t="str">
        <f t="shared" ref="AF23:AF24" si="107">IF(G23=20,J23*K23,"")</f>
        <v/>
      </c>
      <c r="AG23" s="56">
        <f t="shared" ref="AG23:AG24" si="108">IF(G23=25,J23*K23,"")</f>
        <v>121500</v>
      </c>
      <c r="AH23" s="57" t="str">
        <f t="shared" ref="AH23:AH24" si="109">IF(G23=32,J23*K23,"")</f>
        <v/>
      </c>
    </row>
    <row r="24" spans="1:34" s="33" customFormat="1" ht="40.200000000000003" customHeight="1" x14ac:dyDescent="0.25">
      <c r="A24" s="49">
        <v>18</v>
      </c>
      <c r="B24" s="89" t="s">
        <v>117</v>
      </c>
      <c r="C24" s="42"/>
      <c r="D24" s="42">
        <v>4900</v>
      </c>
      <c r="E24" s="42">
        <v>200</v>
      </c>
      <c r="F24" s="88" t="s">
        <v>123</v>
      </c>
      <c r="G24" s="42">
        <v>12</v>
      </c>
      <c r="H24" s="42">
        <v>1</v>
      </c>
      <c r="I24" s="53">
        <f t="shared" si="10"/>
        <v>25</v>
      </c>
      <c r="J24" s="54">
        <f t="shared" si="99"/>
        <v>25</v>
      </c>
      <c r="K24" s="54">
        <f t="shared" si="100"/>
        <v>1850</v>
      </c>
      <c r="L24" s="41">
        <v>0</v>
      </c>
      <c r="M24" s="29">
        <f>1500+350</f>
        <v>1850</v>
      </c>
      <c r="N24" s="29"/>
      <c r="O24" s="29"/>
      <c r="P24" s="29"/>
      <c r="Q24" s="29"/>
      <c r="R24" s="74"/>
      <c r="S24" s="42"/>
      <c r="T24" s="42"/>
      <c r="U24" s="42"/>
      <c r="V24" s="42"/>
      <c r="W24" s="43"/>
      <c r="X24" s="42">
        <v>0</v>
      </c>
      <c r="Y24" s="42">
        <f t="shared" si="101"/>
        <v>0</v>
      </c>
      <c r="Z24" s="30"/>
      <c r="AA24" s="55">
        <f t="shared" si="102"/>
        <v>46250</v>
      </c>
      <c r="AB24" s="56" t="str">
        <f t="shared" si="103"/>
        <v/>
      </c>
      <c r="AC24" s="56" t="str">
        <f t="shared" si="104"/>
        <v/>
      </c>
      <c r="AD24" s="56">
        <f t="shared" si="105"/>
        <v>46250</v>
      </c>
      <c r="AE24" s="56" t="str">
        <f t="shared" si="106"/>
        <v/>
      </c>
      <c r="AF24" s="56" t="str">
        <f t="shared" si="107"/>
        <v/>
      </c>
      <c r="AG24" s="56" t="str">
        <f t="shared" si="108"/>
        <v/>
      </c>
      <c r="AH24" s="57" t="str">
        <f t="shared" si="109"/>
        <v/>
      </c>
    </row>
    <row r="25" spans="1:34" s="33" customFormat="1" ht="40.200000000000003" customHeight="1" x14ac:dyDescent="0.25">
      <c r="A25" s="49">
        <v>19</v>
      </c>
      <c r="B25" s="89" t="s">
        <v>118</v>
      </c>
      <c r="C25" s="42"/>
      <c r="D25" s="42">
        <v>600</v>
      </c>
      <c r="E25" s="42">
        <v>200</v>
      </c>
      <c r="F25" s="88" t="s">
        <v>123</v>
      </c>
      <c r="G25" s="42">
        <v>8</v>
      </c>
      <c r="H25" s="42">
        <v>1</v>
      </c>
      <c r="I25" s="53">
        <f t="shared" si="10"/>
        <v>4</v>
      </c>
      <c r="J25" s="54">
        <f t="shared" ref="J25" si="110">ROUND(H25*I25,0)</f>
        <v>4</v>
      </c>
      <c r="K25" s="54">
        <f t="shared" ref="K25" si="111">+SUM(M25:R25)-Y25</f>
        <v>10990</v>
      </c>
      <c r="L25" s="41">
        <v>0</v>
      </c>
      <c r="M25" s="29">
        <f>10640+350</f>
        <v>10990</v>
      </c>
      <c r="N25" s="29"/>
      <c r="O25" s="29"/>
      <c r="P25" s="29"/>
      <c r="Q25" s="29"/>
      <c r="R25" s="74"/>
      <c r="S25" s="42"/>
      <c r="T25" s="42"/>
      <c r="U25" s="42"/>
      <c r="V25" s="42"/>
      <c r="W25" s="43"/>
      <c r="X25" s="42">
        <v>0</v>
      </c>
      <c r="Y25" s="42">
        <f t="shared" ref="Y25" si="112">+X25*2*G25</f>
        <v>0</v>
      </c>
      <c r="Z25" s="30"/>
      <c r="AA25" s="55">
        <f t="shared" ref="AA25" si="113">+IF(G25="","",J25*K25)</f>
        <v>43960</v>
      </c>
      <c r="AB25" s="56">
        <f t="shared" ref="AB25" si="114">IF(G25=8,J25*K25,"")</f>
        <v>43960</v>
      </c>
      <c r="AC25" s="56" t="str">
        <f t="shared" ref="AC25" si="115">IF(G25=10,J25*K25,"")</f>
        <v/>
      </c>
      <c r="AD25" s="56" t="str">
        <f t="shared" ref="AD25" si="116">IF(G25=12,J25*K25,"")</f>
        <v/>
      </c>
      <c r="AE25" s="56" t="str">
        <f t="shared" ref="AE25" si="117">IF(G25=16,J25*K25,"")</f>
        <v/>
      </c>
      <c r="AF25" s="56" t="str">
        <f t="shared" ref="AF25" si="118">IF(G25=20,J25*K25,"")</f>
        <v/>
      </c>
      <c r="AG25" s="56" t="str">
        <f t="shared" ref="AG25" si="119">IF(G25=25,J25*K25,"")</f>
        <v/>
      </c>
      <c r="AH25" s="57" t="str">
        <f t="shared" ref="AH25" si="120">IF(G25=32,J25*K25,"")</f>
        <v/>
      </c>
    </row>
    <row r="26" spans="1:34" s="33" customFormat="1" ht="40.200000000000003" customHeight="1" x14ac:dyDescent="0.25">
      <c r="A26" s="49">
        <v>20</v>
      </c>
      <c r="B26" s="89" t="s">
        <v>119</v>
      </c>
      <c r="C26" s="42"/>
      <c r="D26" s="42">
        <v>4950</v>
      </c>
      <c r="E26" s="42">
        <v>200</v>
      </c>
      <c r="F26" s="88" t="s">
        <v>123</v>
      </c>
      <c r="G26" s="42">
        <v>10</v>
      </c>
      <c r="H26" s="42">
        <v>1</v>
      </c>
      <c r="I26" s="53">
        <f t="shared" si="10"/>
        <v>25</v>
      </c>
      <c r="J26" s="54">
        <f t="shared" ref="J26" si="121">ROUND(H26*I26,0)</f>
        <v>25</v>
      </c>
      <c r="K26" s="54">
        <f t="shared" ref="K26" si="122">+SUM(M26:R26)-Y26</f>
        <v>10662</v>
      </c>
      <c r="L26" s="41">
        <v>0</v>
      </c>
      <c r="M26" s="29">
        <f>10312+350</f>
        <v>10662</v>
      </c>
      <c r="N26" s="29"/>
      <c r="O26" s="29"/>
      <c r="P26" s="29"/>
      <c r="Q26" s="29"/>
      <c r="R26" s="74"/>
      <c r="S26" s="42"/>
      <c r="T26" s="42"/>
      <c r="U26" s="42"/>
      <c r="V26" s="42"/>
      <c r="W26" s="43"/>
      <c r="X26" s="42">
        <v>0</v>
      </c>
      <c r="Y26" s="42">
        <f t="shared" ref="Y26" si="123">+X26*2*G26</f>
        <v>0</v>
      </c>
      <c r="Z26" s="30"/>
      <c r="AA26" s="55">
        <f t="shared" ref="AA26" si="124">+IF(G26="","",J26*K26)</f>
        <v>266550</v>
      </c>
      <c r="AB26" s="56" t="str">
        <f t="shared" ref="AB26" si="125">IF(G26=8,J26*K26,"")</f>
        <v/>
      </c>
      <c r="AC26" s="56">
        <f t="shared" ref="AC26" si="126">IF(G26=10,J26*K26,"")</f>
        <v>266550</v>
      </c>
      <c r="AD26" s="56" t="str">
        <f t="shared" ref="AD26" si="127">IF(G26=12,J26*K26,"")</f>
        <v/>
      </c>
      <c r="AE26" s="56" t="str">
        <f t="shared" ref="AE26" si="128">IF(G26=16,J26*K26,"")</f>
        <v/>
      </c>
      <c r="AF26" s="56" t="str">
        <f t="shared" ref="AF26" si="129">IF(G26=20,J26*K26,"")</f>
        <v/>
      </c>
      <c r="AG26" s="56" t="str">
        <f t="shared" ref="AG26" si="130">IF(G26=25,J26*K26,"")</f>
        <v/>
      </c>
      <c r="AH26" s="57" t="str">
        <f t="shared" ref="AH26" si="131">IF(G26=32,J26*K26,"")</f>
        <v/>
      </c>
    </row>
    <row r="27" spans="1:34" s="33" customFormat="1" ht="40.200000000000003" customHeight="1" x14ac:dyDescent="0.25">
      <c r="A27" s="49">
        <v>21</v>
      </c>
      <c r="B27" s="89" t="s">
        <v>119</v>
      </c>
      <c r="C27" s="42"/>
      <c r="D27" s="42">
        <v>4950</v>
      </c>
      <c r="E27" s="42">
        <v>200</v>
      </c>
      <c r="F27" s="88" t="s">
        <v>123</v>
      </c>
      <c r="G27" s="42">
        <v>10</v>
      </c>
      <c r="H27" s="42">
        <v>1</v>
      </c>
      <c r="I27" s="53">
        <f t="shared" si="10"/>
        <v>25</v>
      </c>
      <c r="J27" s="54">
        <f t="shared" ref="J27" si="132">ROUND(H27*I27,0)</f>
        <v>25</v>
      </c>
      <c r="K27" s="54">
        <f t="shared" ref="K27" si="133">+SUM(M27:R27)-Y27</f>
        <v>10662</v>
      </c>
      <c r="L27" s="41">
        <v>0</v>
      </c>
      <c r="M27" s="29">
        <f>10312+350</f>
        <v>10662</v>
      </c>
      <c r="N27" s="29"/>
      <c r="O27" s="29"/>
      <c r="P27" s="29"/>
      <c r="Q27" s="29"/>
      <c r="R27" s="74"/>
      <c r="S27" s="42"/>
      <c r="T27" s="42"/>
      <c r="U27" s="42"/>
      <c r="V27" s="42"/>
      <c r="W27" s="43"/>
      <c r="X27" s="42">
        <v>0</v>
      </c>
      <c r="Y27" s="42">
        <f t="shared" ref="Y27" si="134">+X27*2*G27</f>
        <v>0</v>
      </c>
      <c r="Z27" s="30"/>
      <c r="AA27" s="55">
        <f t="shared" ref="AA27" si="135">+IF(G27="","",J27*K27)</f>
        <v>266550</v>
      </c>
      <c r="AB27" s="56" t="str">
        <f t="shared" ref="AB27" si="136">IF(G27=8,J27*K27,"")</f>
        <v/>
      </c>
      <c r="AC27" s="56">
        <f t="shared" ref="AC27" si="137">IF(G27=10,J27*K27,"")</f>
        <v>266550</v>
      </c>
      <c r="AD27" s="56" t="str">
        <f t="shared" ref="AD27" si="138">IF(G27=12,J27*K27,"")</f>
        <v/>
      </c>
      <c r="AE27" s="56" t="str">
        <f t="shared" ref="AE27" si="139">IF(G27=16,J27*K27,"")</f>
        <v/>
      </c>
      <c r="AF27" s="56" t="str">
        <f t="shared" ref="AF27" si="140">IF(G27=20,J27*K27,"")</f>
        <v/>
      </c>
      <c r="AG27" s="56" t="str">
        <f t="shared" ref="AG27" si="141">IF(G27=25,J27*K27,"")</f>
        <v/>
      </c>
      <c r="AH27" s="57" t="str">
        <f t="shared" ref="AH27" si="142">IF(G27=32,J27*K27,"")</f>
        <v/>
      </c>
    </row>
    <row r="28" spans="1:34" s="33" customFormat="1" ht="49.2" customHeight="1" x14ac:dyDescent="0.25">
      <c r="A28" s="49">
        <v>22</v>
      </c>
      <c r="B28" s="89" t="s">
        <v>120</v>
      </c>
      <c r="C28" s="42"/>
      <c r="D28" s="42">
        <v>4000</v>
      </c>
      <c r="E28" s="42">
        <v>200</v>
      </c>
      <c r="F28" s="88" t="s">
        <v>123</v>
      </c>
      <c r="G28" s="42">
        <v>32</v>
      </c>
      <c r="H28" s="42">
        <v>1</v>
      </c>
      <c r="I28" s="53">
        <f t="shared" si="10"/>
        <v>21</v>
      </c>
      <c r="J28" s="54">
        <f t="shared" ref="J28" si="143">ROUND(H28*I28,0)</f>
        <v>21</v>
      </c>
      <c r="K28" s="54">
        <f t="shared" ref="K28" si="144">+SUM(M28:R28)-Y28</f>
        <v>7379.4987532648884</v>
      </c>
      <c r="L28" s="41" t="s">
        <v>73</v>
      </c>
      <c r="M28" s="29">
        <f>ROUND(((1400-50-75)/2)+150,0)</f>
        <v>788</v>
      </c>
      <c r="N28" s="29">
        <f>4300-50</f>
        <v>4250</v>
      </c>
      <c r="O28" s="29">
        <f>SQRT(((1550-50-75)*(1550-50-75))+((1550)*(1550)))</f>
        <v>2105.4987532648884</v>
      </c>
      <c r="P28" s="73">
        <v>300</v>
      </c>
      <c r="Q28" s="29"/>
      <c r="R28" s="74"/>
      <c r="S28" s="42"/>
      <c r="T28" s="42"/>
      <c r="U28" s="42"/>
      <c r="V28" s="42"/>
      <c r="W28" s="43"/>
      <c r="X28" s="42">
        <v>1</v>
      </c>
      <c r="Y28" s="42">
        <f t="shared" ref="Y28" si="145">+X28*2*G28</f>
        <v>64</v>
      </c>
      <c r="Z28" s="30"/>
      <c r="AA28" s="55">
        <f t="shared" ref="AA28" si="146">+IF(G28="","",J28*K28)</f>
        <v>154969.47381856266</v>
      </c>
      <c r="AB28" s="56" t="str">
        <f t="shared" ref="AB28" si="147">IF(G28=8,J28*K28,"")</f>
        <v/>
      </c>
      <c r="AC28" s="56" t="str">
        <f t="shared" ref="AC28" si="148">IF(G28=10,J28*K28,"")</f>
        <v/>
      </c>
      <c r="AD28" s="56" t="str">
        <f t="shared" ref="AD28" si="149">IF(G28=12,J28*K28,"")</f>
        <v/>
      </c>
      <c r="AE28" s="56" t="str">
        <f t="shared" ref="AE28" si="150">IF(G28=16,J28*K28,"")</f>
        <v/>
      </c>
      <c r="AF28" s="56" t="str">
        <f t="shared" ref="AF28" si="151">IF(G28=20,J28*K28,"")</f>
        <v/>
      </c>
      <c r="AG28" s="56" t="str">
        <f t="shared" ref="AG28" si="152">IF(G28=25,J28*K28,"")</f>
        <v/>
      </c>
      <c r="AH28" s="57">
        <f t="shared" ref="AH28" si="153">IF(G28=32,J28*K28,"")</f>
        <v>154969.47381856266</v>
      </c>
    </row>
    <row r="29" spans="1:34" s="33" customFormat="1" ht="58.95" customHeight="1" x14ac:dyDescent="0.25">
      <c r="A29" s="49">
        <v>23</v>
      </c>
      <c r="B29" s="89" t="s">
        <v>121</v>
      </c>
      <c r="C29" s="42"/>
      <c r="D29" s="42">
        <v>4000</v>
      </c>
      <c r="E29" s="42">
        <v>200</v>
      </c>
      <c r="F29" s="88" t="s">
        <v>123</v>
      </c>
      <c r="G29" s="42">
        <v>32</v>
      </c>
      <c r="H29" s="42">
        <v>1</v>
      </c>
      <c r="I29" s="53">
        <f t="shared" si="10"/>
        <v>21</v>
      </c>
      <c r="J29" s="54">
        <f t="shared" ref="J29" si="154">ROUND(H29*I29,0)</f>
        <v>21</v>
      </c>
      <c r="K29" s="54">
        <f t="shared" ref="K29" si="155">+SUM(M29:R29)-Y29</f>
        <v>7379.4987532648884</v>
      </c>
      <c r="L29" s="41" t="s">
        <v>73</v>
      </c>
      <c r="M29" s="29">
        <f>ROUND(((1400-50-75)/2)+150,0)</f>
        <v>788</v>
      </c>
      <c r="N29" s="29">
        <f>4300-50</f>
        <v>4250</v>
      </c>
      <c r="O29" s="29">
        <f>SQRT(((1550-50-75)*(1550-50-75))+((1550)*(1550)))</f>
        <v>2105.4987532648884</v>
      </c>
      <c r="P29" s="73">
        <v>300</v>
      </c>
      <c r="Q29" s="29"/>
      <c r="R29" s="74"/>
      <c r="S29" s="42"/>
      <c r="T29" s="42"/>
      <c r="U29" s="42"/>
      <c r="V29" s="42"/>
      <c r="W29" s="43"/>
      <c r="X29" s="42">
        <v>1</v>
      </c>
      <c r="Y29" s="42">
        <f t="shared" ref="Y29" si="156">+X29*2*G29</f>
        <v>64</v>
      </c>
      <c r="Z29" s="30"/>
      <c r="AA29" s="55">
        <f t="shared" ref="AA29" si="157">+IF(G29="","",J29*K29)</f>
        <v>154969.47381856266</v>
      </c>
      <c r="AB29" s="56" t="str">
        <f t="shared" ref="AB29" si="158">IF(G29=8,J29*K29,"")</f>
        <v/>
      </c>
      <c r="AC29" s="56" t="str">
        <f t="shared" ref="AC29" si="159">IF(G29=10,J29*K29,"")</f>
        <v/>
      </c>
      <c r="AD29" s="56" t="str">
        <f t="shared" ref="AD29" si="160">IF(G29=12,J29*K29,"")</f>
        <v/>
      </c>
      <c r="AE29" s="56" t="str">
        <f t="shared" ref="AE29" si="161">IF(G29=16,J29*K29,"")</f>
        <v/>
      </c>
      <c r="AF29" s="56" t="str">
        <f t="shared" ref="AF29" si="162">IF(G29=20,J29*K29,"")</f>
        <v/>
      </c>
      <c r="AG29" s="56" t="str">
        <f t="shared" ref="AG29" si="163">IF(G29=25,J29*K29,"")</f>
        <v/>
      </c>
      <c r="AH29" s="57">
        <f t="shared" ref="AH29" si="164">IF(G29=32,J29*K29,"")</f>
        <v>154969.47381856266</v>
      </c>
    </row>
    <row r="30" spans="1:34" s="33" customFormat="1" ht="58.95" customHeight="1" x14ac:dyDescent="0.25">
      <c r="A30" s="49">
        <v>24</v>
      </c>
      <c r="B30" s="89" t="s">
        <v>122</v>
      </c>
      <c r="C30" s="42"/>
      <c r="D30" s="42">
        <v>4000</v>
      </c>
      <c r="E30" s="42">
        <v>200</v>
      </c>
      <c r="F30" s="88" t="s">
        <v>123</v>
      </c>
      <c r="G30" s="42">
        <v>20</v>
      </c>
      <c r="H30" s="42">
        <v>1</v>
      </c>
      <c r="I30" s="53">
        <f t="shared" si="10"/>
        <v>21</v>
      </c>
      <c r="J30" s="54">
        <f t="shared" ref="J30:J32" si="165">ROUND(H30*I30,0)</f>
        <v>21</v>
      </c>
      <c r="K30" s="54">
        <f>+SUM(M30:R30)-Y30</f>
        <v>2662</v>
      </c>
      <c r="L30" s="41" t="s">
        <v>71</v>
      </c>
      <c r="M30" s="73">
        <v>650</v>
      </c>
      <c r="N30" s="73">
        <v>212</v>
      </c>
      <c r="O30" s="73">
        <v>1800</v>
      </c>
      <c r="P30" s="73"/>
      <c r="Q30" s="29"/>
      <c r="R30" s="74"/>
      <c r="S30" s="42"/>
      <c r="T30" s="42"/>
      <c r="U30" s="42"/>
      <c r="V30" s="42"/>
      <c r="W30" s="43"/>
      <c r="X30" s="42">
        <v>0</v>
      </c>
      <c r="Y30" s="42">
        <f t="shared" ref="Y30:Y32" si="166">+X30*2*G30</f>
        <v>0</v>
      </c>
      <c r="Z30" s="30"/>
      <c r="AA30" s="55">
        <f t="shared" ref="AA30:AA32" si="167">+IF(G30="","",J30*K30)</f>
        <v>55902</v>
      </c>
      <c r="AB30" s="56" t="str">
        <f t="shared" ref="AB30:AB32" si="168">IF(G30=8,J30*K30,"")</f>
        <v/>
      </c>
      <c r="AC30" s="56" t="str">
        <f t="shared" ref="AC30:AC32" si="169">IF(G30=10,J30*K30,"")</f>
        <v/>
      </c>
      <c r="AD30" s="56" t="str">
        <f t="shared" ref="AD30:AD32" si="170">IF(G30=12,J30*K30,"")</f>
        <v/>
      </c>
      <c r="AE30" s="56" t="str">
        <f t="shared" ref="AE30:AE32" si="171">IF(G30=16,J30*K30,"")</f>
        <v/>
      </c>
      <c r="AF30" s="56">
        <f t="shared" ref="AF30:AF32" si="172">IF(G30=20,J30*K30,"")</f>
        <v>55902</v>
      </c>
      <c r="AG30" s="56" t="str">
        <f t="shared" ref="AG30:AG32" si="173">IF(G30=25,J30*K30,"")</f>
        <v/>
      </c>
      <c r="AH30" s="57" t="str">
        <f t="shared" ref="AH30:AH32" si="174">IF(G30=32,J30*K30,"")</f>
        <v/>
      </c>
    </row>
    <row r="31" spans="1:34" s="33" customFormat="1" ht="40.200000000000003" customHeight="1" x14ac:dyDescent="0.25">
      <c r="A31" s="49">
        <v>25</v>
      </c>
      <c r="B31" s="89" t="s">
        <v>124</v>
      </c>
      <c r="C31" s="42"/>
      <c r="D31" s="42">
        <v>2800</v>
      </c>
      <c r="E31" s="42">
        <v>200</v>
      </c>
      <c r="F31" s="88" t="s">
        <v>123</v>
      </c>
      <c r="G31" s="42">
        <v>20</v>
      </c>
      <c r="H31" s="42">
        <v>1</v>
      </c>
      <c r="I31" s="53">
        <f t="shared" si="10"/>
        <v>15</v>
      </c>
      <c r="J31" s="54">
        <f t="shared" si="165"/>
        <v>15</v>
      </c>
      <c r="K31" s="54">
        <f t="shared" ref="K31:K32" si="175">+SUM(M31:R31)-Y31</f>
        <v>6098</v>
      </c>
      <c r="L31" s="41">
        <v>11</v>
      </c>
      <c r="M31" s="29">
        <f>ROUND(((1000-50-75)/2)+150,0)</f>
        <v>588</v>
      </c>
      <c r="N31" s="29">
        <f>4800-50+800</f>
        <v>5550</v>
      </c>
      <c r="O31" s="29"/>
      <c r="P31" s="29"/>
      <c r="Q31" s="29"/>
      <c r="R31" s="74"/>
      <c r="S31" s="42"/>
      <c r="T31" s="42"/>
      <c r="U31" s="42"/>
      <c r="V31" s="42"/>
      <c r="W31" s="43"/>
      <c r="X31" s="42">
        <v>1</v>
      </c>
      <c r="Y31" s="42">
        <f t="shared" si="166"/>
        <v>40</v>
      </c>
      <c r="Z31" s="30"/>
      <c r="AA31" s="55">
        <f t="shared" si="167"/>
        <v>91470</v>
      </c>
      <c r="AB31" s="56" t="str">
        <f t="shared" si="168"/>
        <v/>
      </c>
      <c r="AC31" s="56" t="str">
        <f t="shared" si="169"/>
        <v/>
      </c>
      <c r="AD31" s="56" t="str">
        <f t="shared" si="170"/>
        <v/>
      </c>
      <c r="AE31" s="56" t="str">
        <f t="shared" si="171"/>
        <v/>
      </c>
      <c r="AF31" s="56">
        <f t="shared" si="172"/>
        <v>91470</v>
      </c>
      <c r="AG31" s="56" t="str">
        <f t="shared" si="173"/>
        <v/>
      </c>
      <c r="AH31" s="57" t="str">
        <f t="shared" si="174"/>
        <v/>
      </c>
    </row>
    <row r="32" spans="1:34" s="33" customFormat="1" ht="40.200000000000003" customHeight="1" x14ac:dyDescent="0.25">
      <c r="A32" s="49">
        <v>26</v>
      </c>
      <c r="B32" s="89" t="s">
        <v>125</v>
      </c>
      <c r="C32" s="42"/>
      <c r="D32" s="42">
        <v>2800</v>
      </c>
      <c r="E32" s="42">
        <v>200</v>
      </c>
      <c r="F32" s="88" t="s">
        <v>123</v>
      </c>
      <c r="G32" s="42">
        <v>16</v>
      </c>
      <c r="H32" s="42">
        <v>1</v>
      </c>
      <c r="I32" s="53">
        <f t="shared" si="10"/>
        <v>15</v>
      </c>
      <c r="J32" s="54">
        <f t="shared" si="165"/>
        <v>15</v>
      </c>
      <c r="K32" s="54">
        <f t="shared" si="175"/>
        <v>6106</v>
      </c>
      <c r="L32" s="41">
        <v>11</v>
      </c>
      <c r="M32" s="29">
        <f>ROUND(((1000-50-75)/2)+150,0)</f>
        <v>588</v>
      </c>
      <c r="N32" s="29">
        <f>4800-50+800</f>
        <v>5550</v>
      </c>
      <c r="O32" s="29"/>
      <c r="P32" s="29"/>
      <c r="Q32" s="29"/>
      <c r="R32" s="74"/>
      <c r="S32" s="42"/>
      <c r="T32" s="42"/>
      <c r="U32" s="42"/>
      <c r="V32" s="42"/>
      <c r="W32" s="43"/>
      <c r="X32" s="42">
        <v>1</v>
      </c>
      <c r="Y32" s="42">
        <f t="shared" si="166"/>
        <v>32</v>
      </c>
      <c r="Z32" s="30"/>
      <c r="AA32" s="55">
        <f t="shared" si="167"/>
        <v>91590</v>
      </c>
      <c r="AB32" s="56" t="str">
        <f t="shared" si="168"/>
        <v/>
      </c>
      <c r="AC32" s="56" t="str">
        <f t="shared" si="169"/>
        <v/>
      </c>
      <c r="AD32" s="56" t="str">
        <f t="shared" si="170"/>
        <v/>
      </c>
      <c r="AE32" s="56">
        <f t="shared" si="171"/>
        <v>91590</v>
      </c>
      <c r="AF32" s="56" t="str">
        <f t="shared" si="172"/>
        <v/>
      </c>
      <c r="AG32" s="56" t="str">
        <f t="shared" si="173"/>
        <v/>
      </c>
      <c r="AH32" s="57" t="str">
        <f t="shared" si="174"/>
        <v/>
      </c>
    </row>
    <row r="37" spans="5:8" x14ac:dyDescent="0.25">
      <c r="F37">
        <v>6400</v>
      </c>
    </row>
    <row r="38" spans="5:8" x14ac:dyDescent="0.25">
      <c r="F38">
        <v>4750</v>
      </c>
      <c r="G38">
        <v>3900</v>
      </c>
      <c r="H38">
        <f>+F38-G38</f>
        <v>850</v>
      </c>
    </row>
    <row r="40" spans="5:8" x14ac:dyDescent="0.25">
      <c r="F40">
        <f>+F37-F38</f>
        <v>1650</v>
      </c>
    </row>
    <row r="44" spans="5:8" x14ac:dyDescent="0.25">
      <c r="E44">
        <v>4750</v>
      </c>
      <c r="F44">
        <v>4684</v>
      </c>
      <c r="G44">
        <f>+E44-F44</f>
        <v>66</v>
      </c>
    </row>
  </sheetData>
  <mergeCells count="20">
    <mergeCell ref="A5:D5"/>
    <mergeCell ref="Q5:Y5"/>
    <mergeCell ref="Z5:AD5"/>
    <mergeCell ref="AE5:AG5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  <mergeCell ref="A1:AH1"/>
    <mergeCell ref="A2:D2"/>
    <mergeCell ref="E2:P2"/>
    <mergeCell ref="Q2:Y2"/>
    <mergeCell ref="Z2:AD2"/>
    <mergeCell ref="AE2:AG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4">
    <tabColor theme="5" tint="0.39997558519241921"/>
    <pageSetUpPr autoPageBreaks="0" fitToPage="1"/>
  </sheetPr>
  <dimension ref="A1:AU784"/>
  <sheetViews>
    <sheetView tabSelected="1" topLeftCell="F6" zoomScale="76" zoomScaleNormal="70" zoomScaleSheetLayoutView="70" zoomScalePageLayoutView="55" workbookViewId="0">
      <pane ySplit="1" topLeftCell="A45" activePane="bottomLeft" state="frozen"/>
      <selection activeCell="A6" sqref="A6"/>
      <selection pane="bottomLeft" activeCell="L47" sqref="L47"/>
    </sheetView>
  </sheetViews>
  <sheetFormatPr defaultColWidth="9.109375" defaultRowHeight="26.25" customHeight="1" x14ac:dyDescent="0.25"/>
  <cols>
    <col min="1" max="1" width="10" style="27" customWidth="1"/>
    <col min="2" max="2" width="12.6640625" style="27" customWidth="1"/>
    <col min="3" max="4" width="12.6640625" style="1" customWidth="1"/>
    <col min="5" max="5" width="12.6640625" style="135" customWidth="1"/>
    <col min="6" max="6" width="10.6640625" style="135" customWidth="1"/>
    <col min="7" max="7" width="24.5546875" style="1" bestFit="1" customWidth="1"/>
    <col min="8" max="8" width="8.6640625" style="135" customWidth="1"/>
    <col min="9" max="10" width="8.6640625" style="1" customWidth="1"/>
    <col min="11" max="11" width="8.6640625" style="135" customWidth="1"/>
    <col min="12" max="12" width="8.6640625" style="1" customWidth="1"/>
    <col min="13" max="13" width="8.77734375" style="135" customWidth="1"/>
    <col min="14" max="19" width="8.77734375" style="1" customWidth="1"/>
    <col min="20" max="20" width="11.33203125" style="1" bestFit="1" customWidth="1"/>
    <col min="21" max="21" width="8.77734375" style="1" customWidth="1"/>
    <col min="22" max="22" width="8.6640625" style="1" customWidth="1"/>
    <col min="23" max="23" width="30.77734375" style="1" customWidth="1"/>
    <col min="24" max="24" width="30.6640625" style="1" hidden="1" customWidth="1"/>
    <col min="25" max="25" width="8.33203125" style="1" customWidth="1"/>
    <col min="26" max="26" width="7.109375" style="1" customWidth="1"/>
    <col min="27" max="27" width="8.33203125" style="1" customWidth="1"/>
    <col min="28" max="28" width="14.44140625" style="1" customWidth="1"/>
    <col min="29" max="29" width="18.6640625" style="1" customWidth="1"/>
    <col min="30" max="30" width="18.6640625" style="1" bestFit="1" customWidth="1"/>
    <col min="31" max="31" width="16.88671875" style="1" bestFit="1" customWidth="1"/>
    <col min="32" max="34" width="18.6640625" style="1" bestFit="1" customWidth="1"/>
    <col min="35" max="35" width="18.6640625" style="1" customWidth="1"/>
    <col min="36" max="36" width="18.6640625" style="1" bestFit="1" customWidth="1"/>
    <col min="37" max="37" width="3" style="1" customWidth="1"/>
    <col min="38" max="46" width="16.6640625" style="1" customWidth="1"/>
    <col min="47" max="16384" width="9.109375" style="1"/>
  </cols>
  <sheetData>
    <row r="1" spans="1:47" ht="21" customHeight="1" x14ac:dyDescent="0.25">
      <c r="A1" s="199" t="s">
        <v>39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  <c r="AI1" s="200"/>
      <c r="AJ1" s="201"/>
    </row>
    <row r="2" spans="1:47" s="97" customFormat="1" ht="30" customHeight="1" x14ac:dyDescent="0.25">
      <c r="A2" s="190" t="s">
        <v>40</v>
      </c>
      <c r="B2" s="191"/>
      <c r="C2" s="93"/>
      <c r="D2" s="191"/>
      <c r="E2" s="191"/>
      <c r="F2" s="133"/>
      <c r="G2" s="191" t="s">
        <v>137</v>
      </c>
      <c r="H2" s="191"/>
      <c r="I2" s="202"/>
      <c r="J2" s="202"/>
      <c r="K2" s="202"/>
      <c r="L2" s="202"/>
      <c r="M2" s="202"/>
      <c r="N2" s="202"/>
      <c r="O2" s="202"/>
      <c r="P2" s="202"/>
      <c r="Q2" s="202"/>
      <c r="R2" s="203" t="s">
        <v>138</v>
      </c>
      <c r="S2" s="204"/>
      <c r="T2" s="204"/>
      <c r="U2" s="204"/>
      <c r="V2" s="204"/>
      <c r="W2" s="204"/>
      <c r="X2" s="204"/>
      <c r="Y2" s="204"/>
      <c r="Z2" s="205"/>
      <c r="AA2" s="206" t="s">
        <v>154</v>
      </c>
      <c r="AB2" s="206"/>
      <c r="AC2" s="206"/>
      <c r="AD2" s="206"/>
      <c r="AE2" s="206"/>
      <c r="AF2" s="94" t="s">
        <v>42</v>
      </c>
      <c r="AG2" s="95" t="s">
        <v>62</v>
      </c>
      <c r="AH2" s="94" t="s">
        <v>139</v>
      </c>
      <c r="AI2" s="94"/>
      <c r="AJ2" s="96"/>
      <c r="AN2" s="1"/>
    </row>
    <row r="3" spans="1:47" ht="25.5" customHeight="1" x14ac:dyDescent="0.25">
      <c r="A3" s="190" t="s">
        <v>140</v>
      </c>
      <c r="B3" s="191"/>
      <c r="C3" s="93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73" t="s">
        <v>44</v>
      </c>
      <c r="S3" s="173" t="s">
        <v>45</v>
      </c>
      <c r="T3" s="173"/>
      <c r="U3" s="173"/>
      <c r="V3" s="173"/>
      <c r="W3" s="173"/>
      <c r="X3" s="173"/>
      <c r="Y3" s="173"/>
      <c r="Z3" s="173"/>
      <c r="AA3" s="196" t="s">
        <v>155</v>
      </c>
      <c r="AB3" s="197"/>
      <c r="AC3" s="197"/>
      <c r="AD3" s="197"/>
      <c r="AE3" s="198"/>
      <c r="AF3" s="94"/>
      <c r="AG3" s="94"/>
      <c r="AH3" s="94" t="s">
        <v>141</v>
      </c>
      <c r="AI3" s="94"/>
      <c r="AJ3" s="98">
        <f ca="1">TODAY()</f>
        <v>46069</v>
      </c>
      <c r="AU3" s="135"/>
    </row>
    <row r="4" spans="1:47" ht="21" customHeight="1" x14ac:dyDescent="0.25">
      <c r="A4" s="190" t="s">
        <v>46</v>
      </c>
      <c r="B4" s="191"/>
      <c r="C4" s="93"/>
      <c r="D4" s="191"/>
      <c r="E4" s="191"/>
      <c r="F4" s="191"/>
      <c r="G4" s="191"/>
      <c r="H4" s="191"/>
      <c r="I4" s="192"/>
      <c r="J4" s="193"/>
      <c r="K4" s="193"/>
      <c r="L4" s="193"/>
      <c r="M4" s="193"/>
      <c r="N4" s="193"/>
      <c r="O4" s="193"/>
      <c r="P4" s="193"/>
      <c r="Q4" s="194"/>
      <c r="R4" s="173" t="s">
        <v>142</v>
      </c>
      <c r="S4" s="173" t="s">
        <v>47</v>
      </c>
      <c r="T4" s="173"/>
      <c r="U4" s="173"/>
      <c r="V4" s="173"/>
      <c r="W4" s="173"/>
      <c r="X4" s="173"/>
      <c r="Y4" s="173"/>
      <c r="Z4" s="173"/>
      <c r="AA4" s="195" t="s">
        <v>143</v>
      </c>
      <c r="AB4" s="195"/>
      <c r="AC4" s="195"/>
      <c r="AD4" s="195"/>
      <c r="AE4" s="195"/>
      <c r="AF4" s="173"/>
      <c r="AG4" s="173"/>
      <c r="AH4" s="173"/>
      <c r="AI4" s="134"/>
      <c r="AJ4" s="99"/>
      <c r="AU4" s="135"/>
    </row>
    <row r="5" spans="1:47" ht="19.5" hidden="1" customHeight="1" x14ac:dyDescent="0.3">
      <c r="A5" s="174"/>
      <c r="B5" s="175"/>
      <c r="C5" s="93"/>
      <c r="D5" s="176"/>
      <c r="E5" s="177"/>
      <c r="F5" s="177"/>
      <c r="G5" s="177"/>
      <c r="H5" s="175"/>
      <c r="I5" s="178"/>
      <c r="J5" s="179"/>
      <c r="K5" s="179"/>
      <c r="L5" s="179"/>
      <c r="M5" s="179"/>
      <c r="N5" s="179"/>
      <c r="O5" s="179"/>
      <c r="P5" s="179"/>
      <c r="Q5" s="180"/>
      <c r="R5" s="181" t="s">
        <v>144</v>
      </c>
      <c r="S5" s="182" t="s">
        <v>49</v>
      </c>
      <c r="T5" s="182"/>
      <c r="U5" s="182"/>
      <c r="V5" s="182"/>
      <c r="W5" s="182"/>
      <c r="X5" s="182"/>
      <c r="Y5" s="182"/>
      <c r="Z5" s="183"/>
      <c r="AA5" s="184"/>
      <c r="AB5" s="185"/>
      <c r="AC5" s="185"/>
      <c r="AD5" s="185"/>
      <c r="AE5" s="186"/>
      <c r="AF5" s="187"/>
      <c r="AG5" s="188"/>
      <c r="AH5" s="189"/>
      <c r="AI5" s="100"/>
      <c r="AJ5" s="101"/>
      <c r="AU5" s="135"/>
    </row>
    <row r="6" spans="1:47" s="106" customFormat="1" ht="43.5" customHeight="1" x14ac:dyDescent="0.25">
      <c r="A6" s="102" t="s">
        <v>151</v>
      </c>
      <c r="B6" s="103" t="s">
        <v>159</v>
      </c>
      <c r="C6" s="103" t="s">
        <v>52</v>
      </c>
      <c r="D6" s="103" t="s">
        <v>53</v>
      </c>
      <c r="E6" s="103" t="s">
        <v>27</v>
      </c>
      <c r="F6" s="103" t="s">
        <v>1</v>
      </c>
      <c r="G6" s="103" t="s">
        <v>2</v>
      </c>
      <c r="H6" s="103" t="s">
        <v>3</v>
      </c>
      <c r="I6" s="103" t="s">
        <v>145</v>
      </c>
      <c r="J6" s="103" t="s">
        <v>5</v>
      </c>
      <c r="K6" s="103" t="s">
        <v>23</v>
      </c>
      <c r="L6" s="103" t="s">
        <v>7</v>
      </c>
      <c r="M6" s="103" t="s">
        <v>8</v>
      </c>
      <c r="N6" s="103" t="s">
        <v>9</v>
      </c>
      <c r="O6" s="103" t="s">
        <v>10</v>
      </c>
      <c r="P6" s="103" t="s">
        <v>11</v>
      </c>
      <c r="Q6" s="103" t="s">
        <v>12</v>
      </c>
      <c r="R6" s="103" t="s">
        <v>13</v>
      </c>
      <c r="S6" s="103" t="s">
        <v>14</v>
      </c>
      <c r="T6" s="103" t="s">
        <v>15</v>
      </c>
      <c r="U6" s="103" t="s">
        <v>24</v>
      </c>
      <c r="V6" s="103" t="s">
        <v>149</v>
      </c>
      <c r="W6" s="103" t="s">
        <v>16</v>
      </c>
      <c r="X6" s="103"/>
      <c r="Y6" s="103" t="s">
        <v>37</v>
      </c>
      <c r="Z6" s="103" t="s">
        <v>38</v>
      </c>
      <c r="AA6" s="103" t="s">
        <v>150</v>
      </c>
      <c r="AB6" s="104" t="s">
        <v>29</v>
      </c>
      <c r="AC6" s="104" t="s">
        <v>31</v>
      </c>
      <c r="AD6" s="104" t="s">
        <v>30</v>
      </c>
      <c r="AE6" s="104" t="s">
        <v>32</v>
      </c>
      <c r="AF6" s="104" t="s">
        <v>33</v>
      </c>
      <c r="AG6" s="104" t="s">
        <v>34</v>
      </c>
      <c r="AH6" s="104" t="s">
        <v>35</v>
      </c>
      <c r="AI6" s="104" t="s">
        <v>36</v>
      </c>
      <c r="AJ6" s="105" t="s">
        <v>146</v>
      </c>
    </row>
    <row r="7" spans="1:47" ht="60" customHeight="1" x14ac:dyDescent="0.25">
      <c r="A7" s="107">
        <v>1</v>
      </c>
      <c r="B7" s="132" t="s">
        <v>160</v>
      </c>
      <c r="C7" s="132" t="s">
        <v>162</v>
      </c>
      <c r="D7" s="108">
        <f>9050-50-50</f>
        <v>8950</v>
      </c>
      <c r="E7" s="108">
        <v>200</v>
      </c>
      <c r="F7" s="136" t="s">
        <v>163</v>
      </c>
      <c r="G7" s="88" t="s">
        <v>156</v>
      </c>
      <c r="H7" s="131">
        <v>32</v>
      </c>
      <c r="I7" s="131">
        <v>1</v>
      </c>
      <c r="J7" s="131">
        <f t="shared" ref="J7" si="0">(ROUND(D7/E7,0)+1)</f>
        <v>46</v>
      </c>
      <c r="K7" s="108">
        <f t="shared" ref="K7" si="1">I7*J7</f>
        <v>46</v>
      </c>
      <c r="L7" s="109">
        <v>0</v>
      </c>
      <c r="M7" s="130">
        <f>1500+8500+1400</f>
        <v>11400</v>
      </c>
      <c r="N7" s="130"/>
      <c r="O7" s="53"/>
      <c r="P7" s="139"/>
      <c r="Q7" s="110"/>
      <c r="R7" s="140"/>
      <c r="S7" s="129"/>
      <c r="T7" s="129"/>
      <c r="U7" s="129"/>
      <c r="V7" s="128">
        <f t="shared" ref="V7:V65" si="2">+SUM(M7:U7)-Z7</f>
        <v>11400</v>
      </c>
      <c r="W7" s="108"/>
      <c r="X7" s="39"/>
      <c r="Y7" s="108">
        <v>0</v>
      </c>
      <c r="Z7" s="108">
        <f t="shared" ref="Z7" si="3">2*H7*Y7</f>
        <v>0</v>
      </c>
      <c r="AA7" s="108"/>
      <c r="AB7" s="55">
        <f t="shared" ref="AB7" si="4">+IF(H7="","",K7*V7)</f>
        <v>524400</v>
      </c>
      <c r="AC7" s="56" t="str">
        <f t="shared" ref="AC7" si="5">IF(H7=8,K7*V7,"")</f>
        <v/>
      </c>
      <c r="AD7" s="56" t="str">
        <f t="shared" ref="AD7" si="6">IF(H7=10,K7*V7,"")</f>
        <v/>
      </c>
      <c r="AE7" s="56" t="str">
        <f t="shared" ref="AE7" si="7">IF(H7=12,K7*V7,"")</f>
        <v/>
      </c>
      <c r="AF7" s="56" t="str">
        <f t="shared" ref="AF7" si="8">IF(H7=16,K7*V7,"")</f>
        <v/>
      </c>
      <c r="AG7" s="56" t="str">
        <f t="shared" ref="AG7" si="9">IF(H7=20,K7*V7,"")</f>
        <v/>
      </c>
      <c r="AH7" s="56" t="str">
        <f t="shared" ref="AH7" si="10">IF(H7=25,K7*V7,"")</f>
        <v/>
      </c>
      <c r="AI7" s="111">
        <f t="shared" ref="AI7" si="11">IF(H7=32,K7*V7,"")</f>
        <v>524400</v>
      </c>
      <c r="AJ7" s="57" t="str">
        <f t="shared" ref="AJ7" si="12">IF(H7=40,K7*L7,"")</f>
        <v/>
      </c>
    </row>
    <row r="8" spans="1:47" ht="60" customHeight="1" x14ac:dyDescent="0.25">
      <c r="A8" s="107">
        <f t="shared" ref="A8:A16" si="13">+A7+1</f>
        <v>2</v>
      </c>
      <c r="B8" s="132" t="s">
        <v>160</v>
      </c>
      <c r="C8" s="132" t="s">
        <v>162</v>
      </c>
      <c r="D8" s="108">
        <f>9050-50-50</f>
        <v>8950</v>
      </c>
      <c r="E8" s="108">
        <v>200</v>
      </c>
      <c r="F8" s="136" t="s">
        <v>164</v>
      </c>
      <c r="G8" s="88" t="s">
        <v>153</v>
      </c>
      <c r="H8" s="131">
        <v>25</v>
      </c>
      <c r="I8" s="131">
        <v>1</v>
      </c>
      <c r="J8" s="131">
        <f t="shared" ref="J8" si="14">(ROUND(D8/E8,0)+1)</f>
        <v>46</v>
      </c>
      <c r="K8" s="108">
        <f t="shared" ref="K8" si="15">I8*J8</f>
        <v>46</v>
      </c>
      <c r="L8" s="109">
        <v>0</v>
      </c>
      <c r="M8" s="130">
        <f>5000-50</f>
        <v>4950</v>
      </c>
      <c r="N8" s="130"/>
      <c r="O8" s="138"/>
      <c r="P8" s="139"/>
      <c r="Q8" s="110"/>
      <c r="R8" s="140"/>
      <c r="S8" s="129"/>
      <c r="T8" s="129"/>
      <c r="U8" s="129"/>
      <c r="V8" s="128">
        <f t="shared" si="2"/>
        <v>4950</v>
      </c>
      <c r="W8" s="108"/>
      <c r="X8" s="39"/>
      <c r="Y8" s="108">
        <v>0</v>
      </c>
      <c r="Z8" s="108">
        <f t="shared" ref="Z8:Z15" si="16">2*H8*Y8</f>
        <v>0</v>
      </c>
      <c r="AA8" s="108"/>
      <c r="AB8" s="55">
        <f t="shared" ref="AB8:AB15" si="17">+IF(H8="","",K8*V8)</f>
        <v>227700</v>
      </c>
      <c r="AC8" s="56" t="str">
        <f t="shared" ref="AC8:AC15" si="18">IF(H8=8,K8*V8,"")</f>
        <v/>
      </c>
      <c r="AD8" s="56" t="str">
        <f t="shared" ref="AD8:AD15" si="19">IF(H8=10,K8*V8,"")</f>
        <v/>
      </c>
      <c r="AE8" s="56" t="str">
        <f t="shared" ref="AE8:AE15" si="20">IF(H8=12,K8*V8,"")</f>
        <v/>
      </c>
      <c r="AF8" s="56" t="str">
        <f t="shared" ref="AF8:AF15" si="21">IF(H8=16,K8*V8,"")</f>
        <v/>
      </c>
      <c r="AG8" s="56" t="str">
        <f t="shared" ref="AG8:AG15" si="22">IF(H8=20,K8*V8,"")</f>
        <v/>
      </c>
      <c r="AH8" s="56">
        <f t="shared" ref="AH8:AH15" si="23">IF(H8=25,K8*V8,"")</f>
        <v>227700</v>
      </c>
      <c r="AI8" s="111" t="str">
        <f t="shared" ref="AI8:AI15" si="24">IF(H8=32,K8*V8,"")</f>
        <v/>
      </c>
      <c r="AJ8" s="57" t="str">
        <f t="shared" ref="AJ8:AJ15" si="25">IF(H8=40,K8*L8,"")</f>
        <v/>
      </c>
    </row>
    <row r="9" spans="1:47" ht="60" customHeight="1" x14ac:dyDescent="0.25">
      <c r="A9" s="107">
        <f t="shared" si="13"/>
        <v>3</v>
      </c>
      <c r="B9" s="132" t="s">
        <v>160</v>
      </c>
      <c r="C9" s="132" t="s">
        <v>162</v>
      </c>
      <c r="D9" s="108">
        <f>10500-50-50</f>
        <v>10400</v>
      </c>
      <c r="E9" s="108">
        <v>200</v>
      </c>
      <c r="F9" s="136" t="s">
        <v>165</v>
      </c>
      <c r="G9" s="88" t="s">
        <v>153</v>
      </c>
      <c r="H9" s="131">
        <v>32</v>
      </c>
      <c r="I9" s="131">
        <v>1</v>
      </c>
      <c r="J9" s="131">
        <f t="shared" ref="J9" si="26">(ROUND(D9/E9,0)+1)</f>
        <v>53</v>
      </c>
      <c r="K9" s="108">
        <f t="shared" ref="K9" si="27">I9*J9</f>
        <v>53</v>
      </c>
      <c r="L9" s="109">
        <v>11</v>
      </c>
      <c r="M9" s="130">
        <f>+ROUND((1200-75-50)/2+150,0)</f>
        <v>688</v>
      </c>
      <c r="N9" s="130">
        <f>2250+1400-50</f>
        <v>3600</v>
      </c>
      <c r="O9" s="138"/>
      <c r="P9" s="139"/>
      <c r="Q9" s="110"/>
      <c r="R9" s="140"/>
      <c r="S9" s="129"/>
      <c r="T9" s="129"/>
      <c r="U9" s="129"/>
      <c r="V9" s="128">
        <f t="shared" si="2"/>
        <v>4224</v>
      </c>
      <c r="W9" s="108"/>
      <c r="X9" s="39"/>
      <c r="Y9" s="108">
        <v>1</v>
      </c>
      <c r="Z9" s="108">
        <f t="shared" si="16"/>
        <v>64</v>
      </c>
      <c r="AA9" s="108"/>
      <c r="AB9" s="55">
        <f t="shared" si="17"/>
        <v>223872</v>
      </c>
      <c r="AC9" s="56" t="str">
        <f t="shared" si="18"/>
        <v/>
      </c>
      <c r="AD9" s="56" t="str">
        <f t="shared" si="19"/>
        <v/>
      </c>
      <c r="AE9" s="56" t="str">
        <f t="shared" si="20"/>
        <v/>
      </c>
      <c r="AF9" s="56" t="str">
        <f t="shared" si="21"/>
        <v/>
      </c>
      <c r="AG9" s="56" t="str">
        <f t="shared" si="22"/>
        <v/>
      </c>
      <c r="AH9" s="56" t="str">
        <f t="shared" si="23"/>
        <v/>
      </c>
      <c r="AI9" s="111">
        <f t="shared" si="24"/>
        <v>223872</v>
      </c>
      <c r="AJ9" s="57" t="str">
        <f t="shared" si="25"/>
        <v/>
      </c>
    </row>
    <row r="10" spans="1:47" ht="60" customHeight="1" x14ac:dyDescent="0.25">
      <c r="A10" s="107">
        <f t="shared" si="13"/>
        <v>4</v>
      </c>
      <c r="B10" s="132" t="s">
        <v>160</v>
      </c>
      <c r="C10" s="132" t="s">
        <v>162</v>
      </c>
      <c r="D10" s="108">
        <f>1450-50-50</f>
        <v>1350</v>
      </c>
      <c r="E10" s="108">
        <v>200</v>
      </c>
      <c r="F10" s="136" t="s">
        <v>166</v>
      </c>
      <c r="G10" s="88" t="s">
        <v>156</v>
      </c>
      <c r="H10" s="131">
        <v>32</v>
      </c>
      <c r="I10" s="131">
        <v>1</v>
      </c>
      <c r="J10" s="131">
        <f t="shared" ref="J10" si="28">(ROUND(D10/E10,0)+1)</f>
        <v>8</v>
      </c>
      <c r="K10" s="108">
        <f t="shared" ref="K10" si="29">I10*J10</f>
        <v>8</v>
      </c>
      <c r="L10" s="109">
        <v>0</v>
      </c>
      <c r="M10" s="130">
        <f>1400+2250+1400</f>
        <v>5050</v>
      </c>
      <c r="N10" s="130"/>
      <c r="O10" s="138"/>
      <c r="P10" s="139"/>
      <c r="Q10" s="110"/>
      <c r="R10" s="140"/>
      <c r="S10" s="129"/>
      <c r="T10" s="129"/>
      <c r="U10" s="129"/>
      <c r="V10" s="128">
        <f t="shared" si="2"/>
        <v>5050</v>
      </c>
      <c r="W10" s="108"/>
      <c r="X10" s="39"/>
      <c r="Y10" s="108">
        <v>0</v>
      </c>
      <c r="Z10" s="108">
        <f t="shared" si="16"/>
        <v>0</v>
      </c>
      <c r="AA10" s="108"/>
      <c r="AB10" s="55">
        <f t="shared" si="17"/>
        <v>40400</v>
      </c>
      <c r="AC10" s="56" t="str">
        <f t="shared" si="18"/>
        <v/>
      </c>
      <c r="AD10" s="56" t="str">
        <f t="shared" si="19"/>
        <v/>
      </c>
      <c r="AE10" s="56" t="str">
        <f t="shared" si="20"/>
        <v/>
      </c>
      <c r="AF10" s="56" t="str">
        <f t="shared" si="21"/>
        <v/>
      </c>
      <c r="AG10" s="56" t="str">
        <f t="shared" si="22"/>
        <v/>
      </c>
      <c r="AH10" s="56" t="str">
        <f t="shared" si="23"/>
        <v/>
      </c>
      <c r="AI10" s="111">
        <f t="shared" si="24"/>
        <v>40400</v>
      </c>
      <c r="AJ10" s="57" t="str">
        <f t="shared" si="25"/>
        <v/>
      </c>
    </row>
    <row r="11" spans="1:47" ht="60" customHeight="1" x14ac:dyDescent="0.25">
      <c r="A11" s="107">
        <f t="shared" si="13"/>
        <v>5</v>
      </c>
      <c r="B11" s="132" t="s">
        <v>160</v>
      </c>
      <c r="C11" s="132" t="s">
        <v>162</v>
      </c>
      <c r="D11" s="108">
        <f>5000-50-50</f>
        <v>4900</v>
      </c>
      <c r="E11" s="108">
        <v>200</v>
      </c>
      <c r="F11" s="136" t="s">
        <v>167</v>
      </c>
      <c r="G11" s="88" t="s">
        <v>152</v>
      </c>
      <c r="H11" s="131">
        <v>25</v>
      </c>
      <c r="I11" s="131">
        <v>1</v>
      </c>
      <c r="J11" s="131">
        <f t="shared" ref="J11" si="30">(ROUND(D11/E11,0)+1)</f>
        <v>26</v>
      </c>
      <c r="K11" s="108">
        <f t="shared" ref="K11" si="31">I11*J11</f>
        <v>26</v>
      </c>
      <c r="L11" s="109" t="s">
        <v>133</v>
      </c>
      <c r="M11" s="130">
        <f>+ROUND((1200-75-50)/2+150,0)</f>
        <v>688</v>
      </c>
      <c r="N11" s="130">
        <f>9050-50-50</f>
        <v>8950</v>
      </c>
      <c r="O11" s="130">
        <f>+ROUND((1200-75-50)/2+150,0)</f>
        <v>688</v>
      </c>
      <c r="P11" s="110"/>
      <c r="Q11" s="110"/>
      <c r="R11" s="140"/>
      <c r="S11" s="129"/>
      <c r="T11" s="129"/>
      <c r="U11" s="129"/>
      <c r="V11" s="128">
        <f t="shared" si="2"/>
        <v>10226</v>
      </c>
      <c r="W11" s="108"/>
      <c r="X11" s="39"/>
      <c r="Y11" s="108">
        <v>2</v>
      </c>
      <c r="Z11" s="108">
        <f t="shared" si="16"/>
        <v>100</v>
      </c>
      <c r="AA11" s="108"/>
      <c r="AB11" s="55">
        <f t="shared" si="17"/>
        <v>265876</v>
      </c>
      <c r="AC11" s="56" t="str">
        <f t="shared" si="18"/>
        <v/>
      </c>
      <c r="AD11" s="56" t="str">
        <f t="shared" si="19"/>
        <v/>
      </c>
      <c r="AE11" s="56" t="str">
        <f t="shared" si="20"/>
        <v/>
      </c>
      <c r="AF11" s="56" t="str">
        <f t="shared" si="21"/>
        <v/>
      </c>
      <c r="AG11" s="56" t="str">
        <f t="shared" si="22"/>
        <v/>
      </c>
      <c r="AH11" s="56">
        <f t="shared" si="23"/>
        <v>265876</v>
      </c>
      <c r="AI11" s="111" t="str">
        <f t="shared" si="24"/>
        <v/>
      </c>
      <c r="AJ11" s="57" t="str">
        <f t="shared" si="25"/>
        <v/>
      </c>
    </row>
    <row r="12" spans="1:47" ht="60" customHeight="1" x14ac:dyDescent="0.25">
      <c r="A12" s="107">
        <f t="shared" si="13"/>
        <v>6</v>
      </c>
      <c r="B12" s="132" t="s">
        <v>160</v>
      </c>
      <c r="C12" s="132" t="s">
        <v>162</v>
      </c>
      <c r="D12" s="108">
        <f>5000-50-50</f>
        <v>4900</v>
      </c>
      <c r="E12" s="108">
        <v>200</v>
      </c>
      <c r="F12" s="136" t="s">
        <v>168</v>
      </c>
      <c r="G12" s="88" t="s">
        <v>157</v>
      </c>
      <c r="H12" s="131">
        <v>32</v>
      </c>
      <c r="I12" s="131">
        <v>1</v>
      </c>
      <c r="J12" s="131">
        <f t="shared" ref="J12" si="32">(ROUND(D12/E12,0)+1)</f>
        <v>26</v>
      </c>
      <c r="K12" s="108">
        <f t="shared" ref="K12" si="33">I12*J12</f>
        <v>26</v>
      </c>
      <c r="L12" s="109">
        <v>0</v>
      </c>
      <c r="M12" s="130">
        <f>1500+1200+1000</f>
        <v>3700</v>
      </c>
      <c r="N12" s="130"/>
      <c r="O12" s="130"/>
      <c r="P12" s="110"/>
      <c r="Q12" s="110"/>
      <c r="R12" s="140"/>
      <c r="S12" s="129"/>
      <c r="T12" s="129"/>
      <c r="U12" s="129"/>
      <c r="V12" s="128">
        <f t="shared" ref="V12" si="34">+SUM(M12:U12)-Z12</f>
        <v>3700</v>
      </c>
      <c r="W12" s="108"/>
      <c r="X12" s="39"/>
      <c r="Y12" s="108">
        <v>0</v>
      </c>
      <c r="Z12" s="108">
        <f t="shared" ref="Z12" si="35">2*H12*Y12</f>
        <v>0</v>
      </c>
      <c r="AA12" s="108"/>
      <c r="AB12" s="55">
        <f t="shared" ref="AB12" si="36">+IF(H12="","",K12*V12)</f>
        <v>96200</v>
      </c>
      <c r="AC12" s="56" t="str">
        <f t="shared" ref="AC12" si="37">IF(H12=8,K12*V12,"")</f>
        <v/>
      </c>
      <c r="AD12" s="56" t="str">
        <f t="shared" ref="AD12" si="38">IF(H12=10,K12*V12,"")</f>
        <v/>
      </c>
      <c r="AE12" s="56" t="str">
        <f t="shared" ref="AE12" si="39">IF(H12=12,K12*V12,"")</f>
        <v/>
      </c>
      <c r="AF12" s="56" t="str">
        <f t="shared" ref="AF12" si="40">IF(H12=16,K12*V12,"")</f>
        <v/>
      </c>
      <c r="AG12" s="56" t="str">
        <f t="shared" ref="AG12" si="41">IF(H12=20,K12*V12,"")</f>
        <v/>
      </c>
      <c r="AH12" s="56" t="str">
        <f t="shared" ref="AH12" si="42">IF(H12=25,K12*V12,"")</f>
        <v/>
      </c>
      <c r="AI12" s="111">
        <f t="shared" ref="AI12" si="43">IF(H12=32,K12*V12,"")</f>
        <v>96200</v>
      </c>
      <c r="AJ12" s="57" t="str">
        <f t="shared" ref="AJ12" si="44">IF(H12=40,K12*L12,"")</f>
        <v/>
      </c>
    </row>
    <row r="13" spans="1:47" ht="60" customHeight="1" x14ac:dyDescent="0.25">
      <c r="A13" s="107">
        <f t="shared" si="13"/>
        <v>7</v>
      </c>
      <c r="B13" s="132" t="s">
        <v>160</v>
      </c>
      <c r="C13" s="132" t="s">
        <v>162</v>
      </c>
      <c r="D13" s="108">
        <f>2250-50-50</f>
        <v>2150</v>
      </c>
      <c r="E13" s="108">
        <v>200</v>
      </c>
      <c r="F13" s="136" t="s">
        <v>169</v>
      </c>
      <c r="G13" s="88" t="s">
        <v>157</v>
      </c>
      <c r="H13" s="131">
        <v>32</v>
      </c>
      <c r="I13" s="131">
        <v>1</v>
      </c>
      <c r="J13" s="131">
        <f t="shared" ref="J13" si="45">(ROUND(D13/E13,0)+1)</f>
        <v>12</v>
      </c>
      <c r="K13" s="108">
        <f t="shared" ref="K13" si="46">I13*J13</f>
        <v>12</v>
      </c>
      <c r="L13" s="109">
        <v>0</v>
      </c>
      <c r="M13" s="130">
        <f>1500+1200+1000</f>
        <v>3700</v>
      </c>
      <c r="N13" s="130"/>
      <c r="O13" s="138"/>
      <c r="P13" s="139"/>
      <c r="Q13" s="110"/>
      <c r="R13" s="140"/>
      <c r="S13" s="129"/>
      <c r="T13" s="129"/>
      <c r="U13" s="129"/>
      <c r="V13" s="128">
        <f t="shared" si="2"/>
        <v>3700</v>
      </c>
      <c r="W13" s="108"/>
      <c r="X13" s="39"/>
      <c r="Y13" s="108">
        <v>0</v>
      </c>
      <c r="Z13" s="108">
        <f t="shared" si="16"/>
        <v>0</v>
      </c>
      <c r="AA13" s="108"/>
      <c r="AB13" s="55">
        <f t="shared" si="17"/>
        <v>44400</v>
      </c>
      <c r="AC13" s="56" t="str">
        <f t="shared" si="18"/>
        <v/>
      </c>
      <c r="AD13" s="56" t="str">
        <f t="shared" si="19"/>
        <v/>
      </c>
      <c r="AE13" s="56" t="str">
        <f t="shared" si="20"/>
        <v/>
      </c>
      <c r="AF13" s="56" t="str">
        <f t="shared" si="21"/>
        <v/>
      </c>
      <c r="AG13" s="56" t="str">
        <f t="shared" si="22"/>
        <v/>
      </c>
      <c r="AH13" s="56" t="str">
        <f t="shared" si="23"/>
        <v/>
      </c>
      <c r="AI13" s="111">
        <f t="shared" si="24"/>
        <v>44400</v>
      </c>
      <c r="AJ13" s="57" t="str">
        <f t="shared" si="25"/>
        <v/>
      </c>
    </row>
    <row r="14" spans="1:47" ht="60" customHeight="1" x14ac:dyDescent="0.25">
      <c r="A14" s="107">
        <f t="shared" si="13"/>
        <v>8</v>
      </c>
      <c r="B14" s="132" t="s">
        <v>160</v>
      </c>
      <c r="C14" s="132" t="s">
        <v>162</v>
      </c>
      <c r="D14" s="108">
        <f>2250-50-50</f>
        <v>2150</v>
      </c>
      <c r="E14" s="108">
        <v>200</v>
      </c>
      <c r="F14" s="136" t="s">
        <v>170</v>
      </c>
      <c r="G14" s="88" t="s">
        <v>152</v>
      </c>
      <c r="H14" s="131">
        <v>32</v>
      </c>
      <c r="I14" s="131">
        <v>1</v>
      </c>
      <c r="J14" s="131">
        <f t="shared" ref="J14" si="47">(ROUND(D14/E14,0)+1)</f>
        <v>12</v>
      </c>
      <c r="K14" s="108">
        <f t="shared" ref="K14" si="48">I14*J14</f>
        <v>12</v>
      </c>
      <c r="L14" s="109" t="s">
        <v>133</v>
      </c>
      <c r="M14" s="130">
        <f>+ROUND((1200-75-50)/2+150,0)</f>
        <v>688</v>
      </c>
      <c r="N14" s="130">
        <f>10500-50-50</f>
        <v>10400</v>
      </c>
      <c r="O14" s="53">
        <f>+ROUND((1200-75-50)/2+150,0)</f>
        <v>688</v>
      </c>
      <c r="P14" s="110"/>
      <c r="Q14" s="110"/>
      <c r="R14" s="140"/>
      <c r="S14" s="129"/>
      <c r="T14" s="129"/>
      <c r="U14" s="129"/>
      <c r="V14" s="128">
        <f t="shared" si="2"/>
        <v>11648</v>
      </c>
      <c r="W14" s="108"/>
      <c r="X14" s="39"/>
      <c r="Y14" s="108">
        <v>2</v>
      </c>
      <c r="Z14" s="108">
        <f t="shared" si="16"/>
        <v>128</v>
      </c>
      <c r="AA14" s="108"/>
      <c r="AB14" s="55">
        <f t="shared" si="17"/>
        <v>139776</v>
      </c>
      <c r="AC14" s="56" t="str">
        <f t="shared" si="18"/>
        <v/>
      </c>
      <c r="AD14" s="56" t="str">
        <f t="shared" si="19"/>
        <v/>
      </c>
      <c r="AE14" s="56" t="str">
        <f t="shared" si="20"/>
        <v/>
      </c>
      <c r="AF14" s="56" t="str">
        <f t="shared" si="21"/>
        <v/>
      </c>
      <c r="AG14" s="56" t="str">
        <f t="shared" si="22"/>
        <v/>
      </c>
      <c r="AH14" s="56" t="str">
        <f t="shared" si="23"/>
        <v/>
      </c>
      <c r="AI14" s="111">
        <f t="shared" si="24"/>
        <v>139776</v>
      </c>
      <c r="AJ14" s="57" t="str">
        <f t="shared" si="25"/>
        <v/>
      </c>
    </row>
    <row r="15" spans="1:47" ht="60" customHeight="1" x14ac:dyDescent="0.25">
      <c r="A15" s="107">
        <f t="shared" si="13"/>
        <v>9</v>
      </c>
      <c r="B15" s="132" t="s">
        <v>160</v>
      </c>
      <c r="C15" s="132" t="s">
        <v>162</v>
      </c>
      <c r="D15" s="108">
        <f>2250-50-50</f>
        <v>2150</v>
      </c>
      <c r="E15" s="108">
        <v>200</v>
      </c>
      <c r="F15" s="136" t="s">
        <v>171</v>
      </c>
      <c r="G15" s="88" t="s">
        <v>157</v>
      </c>
      <c r="H15" s="131">
        <v>32</v>
      </c>
      <c r="I15" s="131">
        <v>1</v>
      </c>
      <c r="J15" s="131">
        <f t="shared" ref="J15" si="49">(ROUND(D15/E15,0)+1)</f>
        <v>12</v>
      </c>
      <c r="K15" s="108">
        <f t="shared" ref="K15" si="50">I15*J15</f>
        <v>12</v>
      </c>
      <c r="L15" s="109">
        <v>0</v>
      </c>
      <c r="M15" s="130">
        <f>2650+2000</f>
        <v>4650</v>
      </c>
      <c r="N15" s="130"/>
      <c r="O15" s="138"/>
      <c r="P15" s="139"/>
      <c r="Q15" s="110"/>
      <c r="R15" s="140"/>
      <c r="S15" s="129"/>
      <c r="T15" s="129"/>
      <c r="U15" s="129"/>
      <c r="V15" s="128">
        <f t="shared" si="2"/>
        <v>4650</v>
      </c>
      <c r="W15" s="108"/>
      <c r="X15" s="39"/>
      <c r="Y15" s="108">
        <v>0</v>
      </c>
      <c r="Z15" s="108">
        <f t="shared" si="16"/>
        <v>0</v>
      </c>
      <c r="AA15" s="108"/>
      <c r="AB15" s="55">
        <f t="shared" si="17"/>
        <v>55800</v>
      </c>
      <c r="AC15" s="56" t="str">
        <f t="shared" si="18"/>
        <v/>
      </c>
      <c r="AD15" s="56" t="str">
        <f t="shared" si="19"/>
        <v/>
      </c>
      <c r="AE15" s="56" t="str">
        <f t="shared" si="20"/>
        <v/>
      </c>
      <c r="AF15" s="56" t="str">
        <f t="shared" si="21"/>
        <v/>
      </c>
      <c r="AG15" s="56" t="str">
        <f t="shared" si="22"/>
        <v/>
      </c>
      <c r="AH15" s="56" t="str">
        <f t="shared" si="23"/>
        <v/>
      </c>
      <c r="AI15" s="111">
        <f t="shared" si="24"/>
        <v>55800</v>
      </c>
      <c r="AJ15" s="57" t="str">
        <f t="shared" si="25"/>
        <v/>
      </c>
    </row>
    <row r="16" spans="1:47" ht="60" customHeight="1" x14ac:dyDescent="0.25">
      <c r="A16" s="107">
        <f t="shared" si="13"/>
        <v>10</v>
      </c>
      <c r="B16" s="132" t="s">
        <v>160</v>
      </c>
      <c r="C16" s="132" t="s">
        <v>162</v>
      </c>
      <c r="D16" s="108">
        <f>5000-50-50</f>
        <v>4900</v>
      </c>
      <c r="E16" s="108">
        <v>200</v>
      </c>
      <c r="F16" s="136" t="s">
        <v>172</v>
      </c>
      <c r="G16" s="88" t="s">
        <v>157</v>
      </c>
      <c r="H16" s="131">
        <v>25</v>
      </c>
      <c r="I16" s="131">
        <v>1</v>
      </c>
      <c r="J16" s="131">
        <f t="shared" ref="J16" si="51">(ROUND(D16/E16,0)+1)</f>
        <v>26</v>
      </c>
      <c r="K16" s="108">
        <f t="shared" ref="K16" si="52">I16*J16</f>
        <v>26</v>
      </c>
      <c r="L16" s="109">
        <v>0</v>
      </c>
      <c r="M16" s="130">
        <f>2000+450+1500</f>
        <v>3950</v>
      </c>
      <c r="N16" s="130"/>
      <c r="O16" s="138"/>
      <c r="P16" s="139"/>
      <c r="Q16" s="110"/>
      <c r="R16" s="140"/>
      <c r="S16" s="129"/>
      <c r="T16" s="129"/>
      <c r="U16" s="129"/>
      <c r="V16" s="128">
        <f t="shared" si="2"/>
        <v>3950</v>
      </c>
      <c r="W16" s="108"/>
      <c r="X16" s="39"/>
      <c r="Y16" s="108">
        <v>0</v>
      </c>
      <c r="Z16" s="108">
        <f t="shared" ref="Z16" si="53">2*H16*Y16</f>
        <v>0</v>
      </c>
      <c r="AA16" s="108"/>
      <c r="AB16" s="55">
        <f t="shared" ref="AB16:AB65" si="54">+IF(H16="","",K16*V16)</f>
        <v>102700</v>
      </c>
      <c r="AC16" s="56" t="str">
        <f t="shared" ref="AC16:AC65" si="55">IF(H16=8,K16*V16,"")</f>
        <v/>
      </c>
      <c r="AD16" s="56" t="str">
        <f t="shared" ref="AD16:AD65" si="56">IF(H16=10,K16*V16,"")</f>
        <v/>
      </c>
      <c r="AE16" s="56" t="str">
        <f t="shared" ref="AE16:AE65" si="57">IF(H16=12,K16*V16,"")</f>
        <v/>
      </c>
      <c r="AF16" s="56" t="str">
        <f t="shared" ref="AF16:AF65" si="58">IF(H16=16,K16*V16,"")</f>
        <v/>
      </c>
      <c r="AG16" s="56" t="str">
        <f t="shared" ref="AG16:AG65" si="59">IF(H16=20,K16*V16,"")</f>
        <v/>
      </c>
      <c r="AH16" s="56">
        <f t="shared" ref="AH16:AH65" si="60">IF(H16=25,K16*V16,"")</f>
        <v>102700</v>
      </c>
      <c r="AI16" s="111" t="str">
        <f t="shared" ref="AI16:AI65" si="61">IF(H16=32,K16*V16,"")</f>
        <v/>
      </c>
      <c r="AJ16" s="57" t="str">
        <f t="shared" ref="AJ16:AJ65" si="62">IF(H16=40,K16*L16,"")</f>
        <v/>
      </c>
    </row>
    <row r="17" spans="1:36" ht="60" customHeight="1" x14ac:dyDescent="0.25">
      <c r="A17" s="107">
        <f t="shared" ref="A17" si="63">+A16+1</f>
        <v>11</v>
      </c>
      <c r="B17" s="132" t="s">
        <v>160</v>
      </c>
      <c r="C17" s="132" t="s">
        <v>162</v>
      </c>
      <c r="D17" s="108">
        <f>2400-50</f>
        <v>2350</v>
      </c>
      <c r="E17" s="108">
        <v>200</v>
      </c>
      <c r="F17" s="136" t="s">
        <v>173</v>
      </c>
      <c r="G17" s="88" t="s">
        <v>174</v>
      </c>
      <c r="H17" s="131">
        <v>20</v>
      </c>
      <c r="I17" s="131">
        <v>1</v>
      </c>
      <c r="J17" s="131">
        <f t="shared" ref="J17" si="64">(ROUND(D17/E17,0)+1)</f>
        <v>13</v>
      </c>
      <c r="K17" s="108">
        <f t="shared" ref="K17" si="65">I17*J17</f>
        <v>13</v>
      </c>
      <c r="L17" s="109">
        <v>0</v>
      </c>
      <c r="M17" s="130">
        <f>1200+2000-50</f>
        <v>3150</v>
      </c>
      <c r="N17" s="130"/>
      <c r="O17" s="138"/>
      <c r="P17" s="139"/>
      <c r="Q17" s="110"/>
      <c r="R17" s="140"/>
      <c r="S17" s="129"/>
      <c r="T17" s="129"/>
      <c r="U17" s="129"/>
      <c r="V17" s="128">
        <f t="shared" si="2"/>
        <v>3150</v>
      </c>
      <c r="W17" s="108"/>
      <c r="X17" s="39"/>
      <c r="Y17" s="108">
        <v>0</v>
      </c>
      <c r="Z17" s="108">
        <f t="shared" ref="Z17:Z65" si="66">2*H17*Y17</f>
        <v>0</v>
      </c>
      <c r="AA17" s="108"/>
      <c r="AB17" s="55">
        <f t="shared" si="54"/>
        <v>40950</v>
      </c>
      <c r="AC17" s="56" t="str">
        <f t="shared" si="55"/>
        <v/>
      </c>
      <c r="AD17" s="56" t="str">
        <f t="shared" si="56"/>
        <v/>
      </c>
      <c r="AE17" s="56" t="str">
        <f t="shared" si="57"/>
        <v/>
      </c>
      <c r="AF17" s="56" t="str">
        <f t="shared" si="58"/>
        <v/>
      </c>
      <c r="AG17" s="56">
        <f t="shared" si="59"/>
        <v>40950</v>
      </c>
      <c r="AH17" s="56" t="str">
        <f t="shared" si="60"/>
        <v/>
      </c>
      <c r="AI17" s="111" t="str">
        <f t="shared" si="61"/>
        <v/>
      </c>
      <c r="AJ17" s="57" t="str">
        <f t="shared" si="62"/>
        <v/>
      </c>
    </row>
    <row r="18" spans="1:36" ht="60" customHeight="1" x14ac:dyDescent="0.25">
      <c r="A18" s="107">
        <f t="shared" ref="A18" si="67">+A17+1</f>
        <v>12</v>
      </c>
      <c r="B18" s="132" t="s">
        <v>160</v>
      </c>
      <c r="C18" s="132" t="s">
        <v>162</v>
      </c>
      <c r="D18" s="108">
        <f>9050-50-50</f>
        <v>8950</v>
      </c>
      <c r="E18" s="108">
        <v>200</v>
      </c>
      <c r="F18" s="136" t="s">
        <v>175</v>
      </c>
      <c r="G18" s="88" t="s">
        <v>174</v>
      </c>
      <c r="H18" s="131">
        <v>16</v>
      </c>
      <c r="I18" s="131">
        <v>1</v>
      </c>
      <c r="J18" s="131">
        <f t="shared" ref="J18" si="68">(ROUND(D18/E18,0)+1)</f>
        <v>46</v>
      </c>
      <c r="K18" s="108">
        <f t="shared" ref="K18" si="69">I18*J18</f>
        <v>46</v>
      </c>
      <c r="L18" s="109">
        <v>0</v>
      </c>
      <c r="M18" s="130">
        <f>1500+1000-50</f>
        <v>2450</v>
      </c>
      <c r="N18" s="130"/>
      <c r="O18" s="138"/>
      <c r="P18" s="139"/>
      <c r="Q18" s="110"/>
      <c r="R18" s="140"/>
      <c r="S18" s="129"/>
      <c r="T18" s="129"/>
      <c r="U18" s="129"/>
      <c r="V18" s="128">
        <f t="shared" si="2"/>
        <v>2450</v>
      </c>
      <c r="W18" s="108"/>
      <c r="X18" s="39"/>
      <c r="Y18" s="108">
        <v>0</v>
      </c>
      <c r="Z18" s="108">
        <f t="shared" si="66"/>
        <v>0</v>
      </c>
      <c r="AA18" s="108"/>
      <c r="AB18" s="55">
        <f t="shared" si="54"/>
        <v>112700</v>
      </c>
      <c r="AC18" s="56" t="str">
        <f t="shared" si="55"/>
        <v/>
      </c>
      <c r="AD18" s="56" t="str">
        <f t="shared" si="56"/>
        <v/>
      </c>
      <c r="AE18" s="56" t="str">
        <f t="shared" si="57"/>
        <v/>
      </c>
      <c r="AF18" s="56">
        <f t="shared" si="58"/>
        <v>112700</v>
      </c>
      <c r="AG18" s="56" t="str">
        <f t="shared" si="59"/>
        <v/>
      </c>
      <c r="AH18" s="56" t="str">
        <f t="shared" si="60"/>
        <v/>
      </c>
      <c r="AI18" s="111" t="str">
        <f t="shared" si="61"/>
        <v/>
      </c>
      <c r="AJ18" s="57" t="str">
        <f t="shared" si="62"/>
        <v/>
      </c>
    </row>
    <row r="19" spans="1:36" ht="60" customHeight="1" x14ac:dyDescent="0.25">
      <c r="A19" s="107">
        <f t="shared" ref="A19" si="70">+A18+1</f>
        <v>13</v>
      </c>
      <c r="B19" s="132" t="s">
        <v>160</v>
      </c>
      <c r="C19" s="132" t="s">
        <v>162</v>
      </c>
      <c r="D19" s="108">
        <v>2850</v>
      </c>
      <c r="E19" s="108">
        <v>200</v>
      </c>
      <c r="F19" s="136" t="s">
        <v>176</v>
      </c>
      <c r="G19" s="88" t="s">
        <v>174</v>
      </c>
      <c r="H19" s="131">
        <v>12</v>
      </c>
      <c r="I19" s="131">
        <v>1</v>
      </c>
      <c r="J19" s="131">
        <f t="shared" ref="J19" si="71">(ROUND(D19/E19,0)+1)</f>
        <v>15</v>
      </c>
      <c r="K19" s="108">
        <f t="shared" ref="K19" si="72">I19*J19</f>
        <v>15</v>
      </c>
      <c r="L19" s="109">
        <v>0</v>
      </c>
      <c r="M19" s="130">
        <f>1200+2000-50</f>
        <v>3150</v>
      </c>
      <c r="N19" s="130"/>
      <c r="O19" s="138"/>
      <c r="P19" s="139"/>
      <c r="Q19" s="110"/>
      <c r="R19" s="140"/>
      <c r="S19" s="129"/>
      <c r="T19" s="129"/>
      <c r="U19" s="129"/>
      <c r="V19" s="128">
        <f t="shared" si="2"/>
        <v>3150</v>
      </c>
      <c r="W19" s="108"/>
      <c r="X19" s="39"/>
      <c r="Y19" s="108">
        <v>0</v>
      </c>
      <c r="Z19" s="108">
        <f t="shared" si="66"/>
        <v>0</v>
      </c>
      <c r="AA19" s="108"/>
      <c r="AB19" s="55">
        <f t="shared" si="54"/>
        <v>47250</v>
      </c>
      <c r="AC19" s="56" t="str">
        <f t="shared" si="55"/>
        <v/>
      </c>
      <c r="AD19" s="56" t="str">
        <f t="shared" si="56"/>
        <v/>
      </c>
      <c r="AE19" s="56">
        <f t="shared" si="57"/>
        <v>47250</v>
      </c>
      <c r="AF19" s="56" t="str">
        <f t="shared" si="58"/>
        <v/>
      </c>
      <c r="AG19" s="56" t="str">
        <f t="shared" si="59"/>
        <v/>
      </c>
      <c r="AH19" s="56" t="str">
        <f t="shared" si="60"/>
        <v/>
      </c>
      <c r="AI19" s="111" t="str">
        <f t="shared" si="61"/>
        <v/>
      </c>
      <c r="AJ19" s="57" t="str">
        <f t="shared" si="62"/>
        <v/>
      </c>
    </row>
    <row r="20" spans="1:36" ht="60" customHeight="1" x14ac:dyDescent="0.25">
      <c r="A20" s="107">
        <f t="shared" ref="A20" si="73">+A19+1</f>
        <v>14</v>
      </c>
      <c r="B20" s="132" t="s">
        <v>160</v>
      </c>
      <c r="C20" s="132" t="s">
        <v>162</v>
      </c>
      <c r="D20" s="108">
        <f>3800-50</f>
        <v>3750</v>
      </c>
      <c r="E20" s="108">
        <v>200</v>
      </c>
      <c r="F20" s="136" t="s">
        <v>177</v>
      </c>
      <c r="G20" s="88" t="s">
        <v>174</v>
      </c>
      <c r="H20" s="131">
        <v>20</v>
      </c>
      <c r="I20" s="131">
        <v>1</v>
      </c>
      <c r="J20" s="131">
        <f t="shared" ref="J20" si="74">(ROUND(D20/E20,0)+1)</f>
        <v>20</v>
      </c>
      <c r="K20" s="108">
        <f t="shared" ref="K20" si="75">I20*J20</f>
        <v>20</v>
      </c>
      <c r="L20" s="109">
        <v>0</v>
      </c>
      <c r="M20" s="130">
        <f>1200+2000-50</f>
        <v>3150</v>
      </c>
      <c r="N20" s="130"/>
      <c r="O20" s="138"/>
      <c r="P20" s="139"/>
      <c r="Q20" s="110"/>
      <c r="R20" s="140"/>
      <c r="S20" s="129"/>
      <c r="T20" s="129"/>
      <c r="U20" s="129"/>
      <c r="V20" s="128">
        <f t="shared" ref="V20" si="76">+SUM(M20:U20)-Z20</f>
        <v>3150</v>
      </c>
      <c r="W20" s="108"/>
      <c r="X20" s="39"/>
      <c r="Y20" s="108">
        <v>0</v>
      </c>
      <c r="Z20" s="108">
        <f t="shared" ref="Z20" si="77">2*H20*Y20</f>
        <v>0</v>
      </c>
      <c r="AA20" s="108"/>
      <c r="AB20" s="55">
        <f t="shared" ref="AB20" si="78">+IF(H20="","",K20*V20)</f>
        <v>63000</v>
      </c>
      <c r="AC20" s="56" t="str">
        <f t="shared" ref="AC20" si="79">IF(H20=8,K20*V20,"")</f>
        <v/>
      </c>
      <c r="AD20" s="56" t="str">
        <f t="shared" ref="AD20" si="80">IF(H20=10,K20*V20,"")</f>
        <v/>
      </c>
      <c r="AE20" s="56" t="str">
        <f t="shared" ref="AE20" si="81">IF(H20=12,K20*V20,"")</f>
        <v/>
      </c>
      <c r="AF20" s="56" t="str">
        <f t="shared" ref="AF20" si="82">IF(H20=16,K20*V20,"")</f>
        <v/>
      </c>
      <c r="AG20" s="56">
        <f t="shared" ref="AG20" si="83">IF(H20=20,K20*V20,"")</f>
        <v>63000</v>
      </c>
      <c r="AH20" s="56" t="str">
        <f t="shared" ref="AH20" si="84">IF(H20=25,K20*V20,"")</f>
        <v/>
      </c>
      <c r="AI20" s="111" t="str">
        <f t="shared" ref="AI20" si="85">IF(H20=32,K20*V20,"")</f>
        <v/>
      </c>
      <c r="AJ20" s="57" t="str">
        <f t="shared" ref="AJ20" si="86">IF(H20=40,K20*L20,"")</f>
        <v/>
      </c>
    </row>
    <row r="21" spans="1:36" ht="60" customHeight="1" x14ac:dyDescent="0.25">
      <c r="A21" s="107">
        <f t="shared" ref="A21" si="87">+A20+1</f>
        <v>15</v>
      </c>
      <c r="B21" s="132" t="s">
        <v>160</v>
      </c>
      <c r="C21" s="132" t="s">
        <v>162</v>
      </c>
      <c r="D21" s="108">
        <f>9050-50-50</f>
        <v>8950</v>
      </c>
      <c r="E21" s="108">
        <v>200</v>
      </c>
      <c r="F21" s="136" t="s">
        <v>178</v>
      </c>
      <c r="G21" s="88" t="s">
        <v>78</v>
      </c>
      <c r="H21" s="131">
        <v>20</v>
      </c>
      <c r="I21" s="131">
        <v>1</v>
      </c>
      <c r="J21" s="131">
        <f t="shared" ref="J21" si="88">(ROUND(D21/E21,0)+1)</f>
        <v>46</v>
      </c>
      <c r="K21" s="108">
        <f t="shared" ref="K21" si="89">I21*J21</f>
        <v>46</v>
      </c>
      <c r="L21" s="109">
        <v>101</v>
      </c>
      <c r="M21" s="130">
        <v>300</v>
      </c>
      <c r="N21" s="130">
        <f>1200-75-32-32</f>
        <v>1061</v>
      </c>
      <c r="O21" s="138">
        <f>7250-50-50-25-25</f>
        <v>7100</v>
      </c>
      <c r="P21" s="130">
        <f>1200-75-32-32</f>
        <v>1061</v>
      </c>
      <c r="Q21" s="110">
        <v>300</v>
      </c>
      <c r="R21" s="140"/>
      <c r="S21" s="129"/>
      <c r="T21" s="129"/>
      <c r="U21" s="129"/>
      <c r="V21" s="128">
        <f t="shared" si="2"/>
        <v>9662</v>
      </c>
      <c r="W21" s="108"/>
      <c r="X21" s="39"/>
      <c r="Y21" s="108">
        <v>4</v>
      </c>
      <c r="Z21" s="108">
        <f t="shared" si="66"/>
        <v>160</v>
      </c>
      <c r="AA21" s="108"/>
      <c r="AB21" s="55">
        <f t="shared" si="54"/>
        <v>444452</v>
      </c>
      <c r="AC21" s="56" t="str">
        <f t="shared" si="55"/>
        <v/>
      </c>
      <c r="AD21" s="56" t="str">
        <f t="shared" si="56"/>
        <v/>
      </c>
      <c r="AE21" s="56" t="str">
        <f t="shared" si="57"/>
        <v/>
      </c>
      <c r="AF21" s="56" t="str">
        <f t="shared" si="58"/>
        <v/>
      </c>
      <c r="AG21" s="56">
        <f t="shared" si="59"/>
        <v>444452</v>
      </c>
      <c r="AH21" s="56" t="str">
        <f t="shared" si="60"/>
        <v/>
      </c>
      <c r="AI21" s="111" t="str">
        <f t="shared" si="61"/>
        <v/>
      </c>
      <c r="AJ21" s="57" t="str">
        <f t="shared" si="62"/>
        <v/>
      </c>
    </row>
    <row r="22" spans="1:36" ht="60" customHeight="1" x14ac:dyDescent="0.25">
      <c r="A22" s="107">
        <f t="shared" ref="A22" si="90">+A21+1</f>
        <v>16</v>
      </c>
      <c r="B22" s="132" t="s">
        <v>160</v>
      </c>
      <c r="C22" s="132" t="s">
        <v>162</v>
      </c>
      <c r="D22" s="108">
        <f>1450-50</f>
        <v>1400</v>
      </c>
      <c r="E22" s="108">
        <v>150</v>
      </c>
      <c r="F22" s="136" t="s">
        <v>179</v>
      </c>
      <c r="G22" s="88" t="s">
        <v>78</v>
      </c>
      <c r="H22" s="131">
        <v>25</v>
      </c>
      <c r="I22" s="131">
        <v>1</v>
      </c>
      <c r="J22" s="131">
        <f t="shared" ref="J22" si="91">(ROUND(D22/E22,0)+1)</f>
        <v>10</v>
      </c>
      <c r="K22" s="108">
        <f t="shared" ref="K22" si="92">I22*J22</f>
        <v>10</v>
      </c>
      <c r="L22" s="109">
        <v>101</v>
      </c>
      <c r="M22" s="130">
        <v>300</v>
      </c>
      <c r="N22" s="130">
        <f>1200-75-32-32</f>
        <v>1061</v>
      </c>
      <c r="O22" s="138">
        <f>2250-50-50-25-25</f>
        <v>2100</v>
      </c>
      <c r="P22" s="130">
        <f>1200-75-32-32</f>
        <v>1061</v>
      </c>
      <c r="Q22" s="110">
        <v>300</v>
      </c>
      <c r="R22" s="140"/>
      <c r="S22" s="129"/>
      <c r="T22" s="129"/>
      <c r="U22" s="129"/>
      <c r="V22" s="128">
        <f t="shared" si="2"/>
        <v>4622</v>
      </c>
      <c r="W22" s="108"/>
      <c r="X22" s="39"/>
      <c r="Y22" s="108">
        <v>4</v>
      </c>
      <c r="Z22" s="108">
        <f t="shared" si="66"/>
        <v>200</v>
      </c>
      <c r="AA22" s="108"/>
      <c r="AB22" s="55">
        <f t="shared" si="54"/>
        <v>46220</v>
      </c>
      <c r="AC22" s="56" t="str">
        <f t="shared" si="55"/>
        <v/>
      </c>
      <c r="AD22" s="56" t="str">
        <f t="shared" si="56"/>
        <v/>
      </c>
      <c r="AE22" s="56" t="str">
        <f t="shared" si="57"/>
        <v/>
      </c>
      <c r="AF22" s="56" t="str">
        <f t="shared" si="58"/>
        <v/>
      </c>
      <c r="AG22" s="56" t="str">
        <f t="shared" si="59"/>
        <v/>
      </c>
      <c r="AH22" s="56">
        <f t="shared" si="60"/>
        <v>46220</v>
      </c>
      <c r="AI22" s="111" t="str">
        <f t="shared" si="61"/>
        <v/>
      </c>
      <c r="AJ22" s="57" t="str">
        <f t="shared" si="62"/>
        <v/>
      </c>
    </row>
    <row r="23" spans="1:36" ht="60" customHeight="1" x14ac:dyDescent="0.25">
      <c r="A23" s="107">
        <f t="shared" ref="A23" si="93">+A22+1</f>
        <v>17</v>
      </c>
      <c r="B23" s="132" t="s">
        <v>160</v>
      </c>
      <c r="C23" s="132" t="s">
        <v>162</v>
      </c>
      <c r="D23" s="108">
        <f>7250-50-50</f>
        <v>7150</v>
      </c>
      <c r="E23" s="108">
        <v>200</v>
      </c>
      <c r="F23" s="136" t="s">
        <v>180</v>
      </c>
      <c r="G23" s="88" t="s">
        <v>83</v>
      </c>
      <c r="H23" s="131">
        <v>20</v>
      </c>
      <c r="I23" s="131">
        <v>1</v>
      </c>
      <c r="J23" s="131">
        <f t="shared" ref="J23" si="94">(ROUND(D23/E23,0)+1)</f>
        <v>37</v>
      </c>
      <c r="K23" s="108">
        <f t="shared" ref="K23" si="95">I23*J23</f>
        <v>37</v>
      </c>
      <c r="L23" s="109">
        <v>101</v>
      </c>
      <c r="M23" s="130">
        <v>300</v>
      </c>
      <c r="N23" s="130">
        <f>1200-75-32-32</f>
        <v>1061</v>
      </c>
      <c r="O23" s="138">
        <f>9050-50-50-25-25</f>
        <v>8900</v>
      </c>
      <c r="P23" s="130">
        <f>1200-75-32-32</f>
        <v>1061</v>
      </c>
      <c r="Q23" s="110">
        <v>300</v>
      </c>
      <c r="R23" s="140"/>
      <c r="S23" s="129"/>
      <c r="T23" s="129"/>
      <c r="U23" s="129"/>
      <c r="V23" s="128">
        <f t="shared" si="2"/>
        <v>11462</v>
      </c>
      <c r="W23" s="108"/>
      <c r="X23" s="39"/>
      <c r="Y23" s="108">
        <v>4</v>
      </c>
      <c r="Z23" s="108">
        <f t="shared" ref="Z23:Z35" si="96">2*H23*Y23</f>
        <v>160</v>
      </c>
      <c r="AA23" s="108"/>
      <c r="AB23" s="55">
        <f t="shared" ref="AB23:AB35" si="97">+IF(H23="","",K23*V23)</f>
        <v>424094</v>
      </c>
      <c r="AC23" s="56" t="str">
        <f t="shared" ref="AC23:AC35" si="98">IF(H23=8,K23*V23,"")</f>
        <v/>
      </c>
      <c r="AD23" s="56" t="str">
        <f t="shared" ref="AD23:AD35" si="99">IF(H23=10,K23*V23,"")</f>
        <v/>
      </c>
      <c r="AE23" s="56" t="str">
        <f t="shared" ref="AE23:AE35" si="100">IF(H23=12,K23*V23,"")</f>
        <v/>
      </c>
      <c r="AF23" s="56" t="str">
        <f t="shared" ref="AF23:AF35" si="101">IF(H23=16,K23*V23,"")</f>
        <v/>
      </c>
      <c r="AG23" s="56">
        <f t="shared" ref="AG23:AG35" si="102">IF(H23=20,K23*V23,"")</f>
        <v>424094</v>
      </c>
      <c r="AH23" s="56" t="str">
        <f t="shared" ref="AH23:AH35" si="103">IF(H23=25,K23*V23,"")</f>
        <v/>
      </c>
      <c r="AI23" s="111" t="str">
        <f t="shared" ref="AI23:AI35" si="104">IF(H23=32,K23*V23,"")</f>
        <v/>
      </c>
      <c r="AJ23" s="57" t="str">
        <f t="shared" ref="AJ23:AJ35" si="105">IF(H23=40,K23*L23,"")</f>
        <v/>
      </c>
    </row>
    <row r="24" spans="1:36" ht="60" customHeight="1" x14ac:dyDescent="0.25">
      <c r="A24" s="107">
        <f t="shared" ref="A24" si="106">+A23+1</f>
        <v>18</v>
      </c>
      <c r="B24" s="132" t="s">
        <v>160</v>
      </c>
      <c r="C24" s="132" t="s">
        <v>162</v>
      </c>
      <c r="D24" s="108">
        <f>7250-50-50</f>
        <v>7150</v>
      </c>
      <c r="E24" s="108">
        <v>200</v>
      </c>
      <c r="F24" s="136" t="s">
        <v>181</v>
      </c>
      <c r="G24" s="88" t="s">
        <v>182</v>
      </c>
      <c r="H24" s="131">
        <v>20</v>
      </c>
      <c r="I24" s="131">
        <v>1</v>
      </c>
      <c r="J24" s="131">
        <f t="shared" ref="J24" si="107">(ROUND(D24/E24,0)+1)</f>
        <v>37</v>
      </c>
      <c r="K24" s="108">
        <f t="shared" ref="K24" si="108">I24*J24</f>
        <v>37</v>
      </c>
      <c r="L24" s="109">
        <v>0</v>
      </c>
      <c r="M24" s="130">
        <f>1200+1000-50</f>
        <v>2150</v>
      </c>
      <c r="N24" s="130"/>
      <c r="O24" s="138"/>
      <c r="P24" s="142"/>
      <c r="Q24" s="110"/>
      <c r="R24" s="140"/>
      <c r="S24" s="129"/>
      <c r="T24" s="129"/>
      <c r="U24" s="129"/>
      <c r="V24" s="128">
        <f t="shared" si="2"/>
        <v>2150</v>
      </c>
      <c r="W24" s="108"/>
      <c r="X24" s="39"/>
      <c r="Y24" s="108">
        <v>0</v>
      </c>
      <c r="Z24" s="108">
        <f t="shared" si="96"/>
        <v>0</v>
      </c>
      <c r="AA24" s="108"/>
      <c r="AB24" s="55">
        <f t="shared" si="97"/>
        <v>79550</v>
      </c>
      <c r="AC24" s="56" t="str">
        <f t="shared" si="98"/>
        <v/>
      </c>
      <c r="AD24" s="56" t="str">
        <f t="shared" si="99"/>
        <v/>
      </c>
      <c r="AE24" s="56" t="str">
        <f t="shared" si="100"/>
        <v/>
      </c>
      <c r="AF24" s="56" t="str">
        <f t="shared" si="101"/>
        <v/>
      </c>
      <c r="AG24" s="56">
        <f t="shared" si="102"/>
        <v>79550</v>
      </c>
      <c r="AH24" s="56" t="str">
        <f t="shared" si="103"/>
        <v/>
      </c>
      <c r="AI24" s="111" t="str">
        <f t="shared" si="104"/>
        <v/>
      </c>
      <c r="AJ24" s="57" t="str">
        <f t="shared" si="105"/>
        <v/>
      </c>
    </row>
    <row r="25" spans="1:36" ht="60" customHeight="1" x14ac:dyDescent="0.25">
      <c r="A25" s="107">
        <f t="shared" ref="A25" si="109">+A24+1</f>
        <v>19</v>
      </c>
      <c r="B25" s="132" t="s">
        <v>160</v>
      </c>
      <c r="C25" s="132" t="s">
        <v>162</v>
      </c>
      <c r="D25" s="108">
        <f>5000-50</f>
        <v>4950</v>
      </c>
      <c r="E25" s="108">
        <v>200</v>
      </c>
      <c r="F25" s="136" t="s">
        <v>183</v>
      </c>
      <c r="G25" s="88" t="s">
        <v>182</v>
      </c>
      <c r="H25" s="131">
        <v>20</v>
      </c>
      <c r="I25" s="131">
        <v>1</v>
      </c>
      <c r="J25" s="131">
        <f t="shared" ref="J25" si="110">(ROUND(D25/E25,0)+1)</f>
        <v>26</v>
      </c>
      <c r="K25" s="108">
        <f t="shared" ref="K25" si="111">I25*J25</f>
        <v>26</v>
      </c>
      <c r="L25" s="109">
        <v>0</v>
      </c>
      <c r="M25" s="130">
        <f>1200+40*H25</f>
        <v>2000</v>
      </c>
      <c r="N25" s="130"/>
      <c r="O25" s="138"/>
      <c r="P25" s="142"/>
      <c r="Q25" s="110"/>
      <c r="R25" s="140"/>
      <c r="S25" s="129"/>
      <c r="T25" s="129"/>
      <c r="U25" s="129"/>
      <c r="V25" s="128">
        <f t="shared" si="2"/>
        <v>2000</v>
      </c>
      <c r="W25" s="108"/>
      <c r="X25" s="39"/>
      <c r="Y25" s="108">
        <v>0</v>
      </c>
      <c r="Z25" s="108">
        <f t="shared" si="96"/>
        <v>0</v>
      </c>
      <c r="AA25" s="108"/>
      <c r="AB25" s="55">
        <f t="shared" si="97"/>
        <v>52000</v>
      </c>
      <c r="AC25" s="56" t="str">
        <f t="shared" si="98"/>
        <v/>
      </c>
      <c r="AD25" s="56" t="str">
        <f t="shared" si="99"/>
        <v/>
      </c>
      <c r="AE25" s="56" t="str">
        <f t="shared" si="100"/>
        <v/>
      </c>
      <c r="AF25" s="56" t="str">
        <f t="shared" si="101"/>
        <v/>
      </c>
      <c r="AG25" s="56">
        <f t="shared" si="102"/>
        <v>52000</v>
      </c>
      <c r="AH25" s="56" t="str">
        <f t="shared" si="103"/>
        <v/>
      </c>
      <c r="AI25" s="111" t="str">
        <f t="shared" si="104"/>
        <v/>
      </c>
      <c r="AJ25" s="57" t="str">
        <f t="shared" si="105"/>
        <v/>
      </c>
    </row>
    <row r="26" spans="1:36" ht="60" customHeight="1" x14ac:dyDescent="0.25">
      <c r="A26" s="107">
        <f t="shared" ref="A26:A46" si="112">+A25+1</f>
        <v>20</v>
      </c>
      <c r="B26" s="132" t="s">
        <v>160</v>
      </c>
      <c r="C26" s="132" t="s">
        <v>162</v>
      </c>
      <c r="D26" s="108">
        <f>2250-50-50</f>
        <v>2150</v>
      </c>
      <c r="E26" s="108">
        <v>200</v>
      </c>
      <c r="F26" s="136" t="s">
        <v>184</v>
      </c>
      <c r="G26" s="88" t="s">
        <v>182</v>
      </c>
      <c r="H26" s="131">
        <v>25</v>
      </c>
      <c r="I26" s="131">
        <v>1</v>
      </c>
      <c r="J26" s="131">
        <f t="shared" ref="J26" si="113">(ROUND(D26/E26,0)+1)</f>
        <v>12</v>
      </c>
      <c r="K26" s="108">
        <f t="shared" ref="K26:K35" si="114">I26*J26</f>
        <v>12</v>
      </c>
      <c r="L26" s="109">
        <v>0</v>
      </c>
      <c r="M26" s="130">
        <f>2650+1000-50</f>
        <v>3600</v>
      </c>
      <c r="N26" s="130"/>
      <c r="O26" s="138"/>
      <c r="P26" s="142"/>
      <c r="Q26" s="110"/>
      <c r="R26" s="140"/>
      <c r="S26" s="129"/>
      <c r="T26" s="129"/>
      <c r="U26" s="129"/>
      <c r="V26" s="128">
        <f t="shared" si="2"/>
        <v>3600</v>
      </c>
      <c r="W26" s="108"/>
      <c r="X26" s="39"/>
      <c r="Y26" s="108">
        <v>0</v>
      </c>
      <c r="Z26" s="108">
        <f t="shared" si="96"/>
        <v>0</v>
      </c>
      <c r="AA26" s="108"/>
      <c r="AB26" s="55">
        <f t="shared" si="97"/>
        <v>43200</v>
      </c>
      <c r="AC26" s="56" t="str">
        <f t="shared" si="98"/>
        <v/>
      </c>
      <c r="AD26" s="56" t="str">
        <f t="shared" si="99"/>
        <v/>
      </c>
      <c r="AE26" s="56" t="str">
        <f t="shared" si="100"/>
        <v/>
      </c>
      <c r="AF26" s="56" t="str">
        <f t="shared" si="101"/>
        <v/>
      </c>
      <c r="AG26" s="56" t="str">
        <f t="shared" si="102"/>
        <v/>
      </c>
      <c r="AH26" s="56">
        <f t="shared" si="103"/>
        <v>43200</v>
      </c>
      <c r="AI26" s="111" t="str">
        <f t="shared" si="104"/>
        <v/>
      </c>
      <c r="AJ26" s="57" t="str">
        <f t="shared" si="105"/>
        <v/>
      </c>
    </row>
    <row r="27" spans="1:36" ht="60" customHeight="1" x14ac:dyDescent="0.25">
      <c r="A27" s="107">
        <f t="shared" si="112"/>
        <v>21</v>
      </c>
      <c r="B27" s="132" t="s">
        <v>185</v>
      </c>
      <c r="C27" s="132" t="s">
        <v>162</v>
      </c>
      <c r="D27" s="108"/>
      <c r="E27" s="108"/>
      <c r="F27" s="143" t="s">
        <v>186</v>
      </c>
      <c r="G27" s="137" t="s">
        <v>187</v>
      </c>
      <c r="H27" s="131">
        <v>10</v>
      </c>
      <c r="I27" s="131">
        <v>6</v>
      </c>
      <c r="J27" s="131">
        <v>4</v>
      </c>
      <c r="K27" s="108">
        <f t="shared" si="114"/>
        <v>24</v>
      </c>
      <c r="L27" s="109">
        <v>11</v>
      </c>
      <c r="M27" s="130">
        <v>300</v>
      </c>
      <c r="N27" s="130">
        <f>+(1200-75-32-32)+(5450-(50+150))/2+(1.15*40*H27)</f>
        <v>4146</v>
      </c>
      <c r="O27" s="130"/>
      <c r="P27" s="130"/>
      <c r="Q27" s="110"/>
      <c r="R27" s="129"/>
      <c r="S27" s="129"/>
      <c r="T27" s="129"/>
      <c r="U27" s="129"/>
      <c r="V27" s="128">
        <f t="shared" ref="V27:V35" si="115">+SUM(M27:U27)-Z27</f>
        <v>4426</v>
      </c>
      <c r="W27" s="108"/>
      <c r="X27" s="39"/>
      <c r="Y27" s="108">
        <v>1</v>
      </c>
      <c r="Z27" s="108">
        <f t="shared" si="96"/>
        <v>20</v>
      </c>
      <c r="AA27" s="108"/>
      <c r="AB27" s="55">
        <f t="shared" si="97"/>
        <v>106224</v>
      </c>
      <c r="AC27" s="56" t="str">
        <f t="shared" si="98"/>
        <v/>
      </c>
      <c r="AD27" s="56">
        <f t="shared" si="99"/>
        <v>106224</v>
      </c>
      <c r="AE27" s="56" t="str">
        <f t="shared" si="100"/>
        <v/>
      </c>
      <c r="AF27" s="56" t="str">
        <f t="shared" si="101"/>
        <v/>
      </c>
      <c r="AG27" s="56" t="str">
        <f t="shared" si="102"/>
        <v/>
      </c>
      <c r="AH27" s="56" t="str">
        <f t="shared" si="103"/>
        <v/>
      </c>
      <c r="AI27" s="111" t="str">
        <f t="shared" si="104"/>
        <v/>
      </c>
      <c r="AJ27" s="57" t="str">
        <f t="shared" si="105"/>
        <v/>
      </c>
    </row>
    <row r="28" spans="1:36" ht="60" customHeight="1" x14ac:dyDescent="0.25">
      <c r="A28" s="107">
        <f t="shared" si="112"/>
        <v>22</v>
      </c>
      <c r="B28" s="132" t="s">
        <v>185</v>
      </c>
      <c r="C28" s="132" t="s">
        <v>162</v>
      </c>
      <c r="D28" s="108"/>
      <c r="E28" s="108"/>
      <c r="F28" s="143" t="s">
        <v>186</v>
      </c>
      <c r="G28" s="137" t="s">
        <v>188</v>
      </c>
      <c r="H28" s="131">
        <v>10</v>
      </c>
      <c r="I28" s="131">
        <v>6</v>
      </c>
      <c r="J28" s="131">
        <v>5</v>
      </c>
      <c r="K28" s="108">
        <f t="shared" si="114"/>
        <v>30</v>
      </c>
      <c r="L28" s="109">
        <v>11</v>
      </c>
      <c r="M28" s="130">
        <v>300</v>
      </c>
      <c r="N28" s="130">
        <f>+(1200-75-32-32)+(5450-(50+150))/2-(0.15*40*H28)</f>
        <v>3626</v>
      </c>
      <c r="O28" s="130"/>
      <c r="P28" s="130"/>
      <c r="Q28" s="110"/>
      <c r="R28" s="129"/>
      <c r="S28" s="129"/>
      <c r="T28" s="129"/>
      <c r="U28" s="129"/>
      <c r="V28" s="128">
        <f t="shared" si="115"/>
        <v>3906</v>
      </c>
      <c r="W28" s="108"/>
      <c r="X28" s="39"/>
      <c r="Y28" s="108">
        <v>1</v>
      </c>
      <c r="Z28" s="108">
        <f t="shared" si="96"/>
        <v>20</v>
      </c>
      <c r="AA28" s="108"/>
      <c r="AB28" s="55">
        <f t="shared" si="97"/>
        <v>117180</v>
      </c>
      <c r="AC28" s="56" t="str">
        <f t="shared" si="98"/>
        <v/>
      </c>
      <c r="AD28" s="56">
        <f t="shared" si="99"/>
        <v>117180</v>
      </c>
      <c r="AE28" s="56" t="str">
        <f t="shared" si="100"/>
        <v/>
      </c>
      <c r="AF28" s="56" t="str">
        <f t="shared" si="101"/>
        <v/>
      </c>
      <c r="AG28" s="56" t="str">
        <f t="shared" si="102"/>
        <v/>
      </c>
      <c r="AH28" s="56" t="str">
        <f t="shared" si="103"/>
        <v/>
      </c>
      <c r="AI28" s="111" t="str">
        <f t="shared" si="104"/>
        <v/>
      </c>
      <c r="AJ28" s="57" t="str">
        <f t="shared" si="105"/>
        <v/>
      </c>
    </row>
    <row r="29" spans="1:36" ht="60" customHeight="1" x14ac:dyDescent="0.25">
      <c r="A29" s="107">
        <f t="shared" si="112"/>
        <v>23</v>
      </c>
      <c r="B29" s="132" t="s">
        <v>185</v>
      </c>
      <c r="C29" s="132" t="s">
        <v>162</v>
      </c>
      <c r="D29" s="108"/>
      <c r="E29" s="108"/>
      <c r="F29" s="143" t="s">
        <v>189</v>
      </c>
      <c r="G29" s="137" t="s">
        <v>187</v>
      </c>
      <c r="H29" s="131">
        <v>10</v>
      </c>
      <c r="I29" s="131">
        <v>6</v>
      </c>
      <c r="J29" s="131">
        <v>5</v>
      </c>
      <c r="K29" s="108">
        <f t="shared" si="114"/>
        <v>30</v>
      </c>
      <c r="L29" s="109">
        <v>11</v>
      </c>
      <c r="M29" s="130">
        <v>300</v>
      </c>
      <c r="N29" s="130">
        <f>+(1200-75-32-32)+(5450-(50+150))/2+(1.15*40*H29)</f>
        <v>4146</v>
      </c>
      <c r="O29" s="130"/>
      <c r="P29" s="130"/>
      <c r="Q29" s="110"/>
      <c r="R29" s="129"/>
      <c r="S29" s="129"/>
      <c r="T29" s="129"/>
      <c r="U29" s="129"/>
      <c r="V29" s="128">
        <f t="shared" ref="V29:V32" si="116">+SUM(M29:U29)-Z29</f>
        <v>4426</v>
      </c>
      <c r="W29" s="108"/>
      <c r="X29" s="39"/>
      <c r="Y29" s="108">
        <v>1</v>
      </c>
      <c r="Z29" s="108">
        <f t="shared" si="96"/>
        <v>20</v>
      </c>
      <c r="AA29" s="108"/>
      <c r="AB29" s="55">
        <f t="shared" si="97"/>
        <v>132780</v>
      </c>
      <c r="AC29" s="56" t="str">
        <f t="shared" si="98"/>
        <v/>
      </c>
      <c r="AD29" s="56">
        <f t="shared" si="99"/>
        <v>132780</v>
      </c>
      <c r="AE29" s="56" t="str">
        <f t="shared" si="100"/>
        <v/>
      </c>
      <c r="AF29" s="56" t="str">
        <f t="shared" si="101"/>
        <v/>
      </c>
      <c r="AG29" s="56" t="str">
        <f t="shared" si="102"/>
        <v/>
      </c>
      <c r="AH29" s="56" t="str">
        <f t="shared" si="103"/>
        <v/>
      </c>
      <c r="AI29" s="111" t="str">
        <f t="shared" si="104"/>
        <v/>
      </c>
      <c r="AJ29" s="57" t="str">
        <f t="shared" si="105"/>
        <v/>
      </c>
    </row>
    <row r="30" spans="1:36" ht="60" customHeight="1" x14ac:dyDescent="0.25">
      <c r="A30" s="107">
        <f t="shared" si="112"/>
        <v>24</v>
      </c>
      <c r="B30" s="132" t="s">
        <v>185</v>
      </c>
      <c r="C30" s="132" t="s">
        <v>162</v>
      </c>
      <c r="D30" s="108"/>
      <c r="E30" s="108"/>
      <c r="F30" s="143" t="s">
        <v>189</v>
      </c>
      <c r="G30" s="137" t="s">
        <v>188</v>
      </c>
      <c r="H30" s="131">
        <v>10</v>
      </c>
      <c r="I30" s="131">
        <v>6</v>
      </c>
      <c r="J30" s="131">
        <v>4</v>
      </c>
      <c r="K30" s="108">
        <f t="shared" si="114"/>
        <v>24</v>
      </c>
      <c r="L30" s="109">
        <v>11</v>
      </c>
      <c r="M30" s="130">
        <v>300</v>
      </c>
      <c r="N30" s="130">
        <f>+(1200-75-32-32)+(5450-(50+150))/2-(0.15*40*H30)</f>
        <v>3626</v>
      </c>
      <c r="O30" s="130"/>
      <c r="P30" s="130"/>
      <c r="Q30" s="110"/>
      <c r="R30" s="129"/>
      <c r="S30" s="129"/>
      <c r="T30" s="129"/>
      <c r="U30" s="129"/>
      <c r="V30" s="128">
        <f t="shared" si="116"/>
        <v>3906</v>
      </c>
      <c r="W30" s="108"/>
      <c r="X30" s="39"/>
      <c r="Y30" s="108">
        <v>1</v>
      </c>
      <c r="Z30" s="108">
        <f t="shared" si="96"/>
        <v>20</v>
      </c>
      <c r="AA30" s="108"/>
      <c r="AB30" s="55">
        <f t="shared" si="97"/>
        <v>93744</v>
      </c>
      <c r="AC30" s="56" t="str">
        <f t="shared" si="98"/>
        <v/>
      </c>
      <c r="AD30" s="56">
        <f t="shared" si="99"/>
        <v>93744</v>
      </c>
      <c r="AE30" s="56" t="str">
        <f t="shared" si="100"/>
        <v/>
      </c>
      <c r="AF30" s="56" t="str">
        <f t="shared" si="101"/>
        <v/>
      </c>
      <c r="AG30" s="56" t="str">
        <f t="shared" si="102"/>
        <v/>
      </c>
      <c r="AH30" s="56" t="str">
        <f t="shared" si="103"/>
        <v/>
      </c>
      <c r="AI30" s="111" t="str">
        <f t="shared" si="104"/>
        <v/>
      </c>
      <c r="AJ30" s="57" t="str">
        <f t="shared" si="105"/>
        <v/>
      </c>
    </row>
    <row r="31" spans="1:36" ht="60" customHeight="1" x14ac:dyDescent="0.25">
      <c r="A31" s="107">
        <f t="shared" si="112"/>
        <v>25</v>
      </c>
      <c r="B31" s="132" t="s">
        <v>185</v>
      </c>
      <c r="C31" s="132" t="s">
        <v>162</v>
      </c>
      <c r="D31" s="108"/>
      <c r="E31" s="108"/>
      <c r="F31" s="143" t="s">
        <v>190</v>
      </c>
      <c r="G31" s="137" t="s">
        <v>187</v>
      </c>
      <c r="H31" s="131">
        <v>10</v>
      </c>
      <c r="I31" s="131">
        <v>6</v>
      </c>
      <c r="J31" s="131">
        <v>2</v>
      </c>
      <c r="K31" s="108">
        <f t="shared" si="114"/>
        <v>12</v>
      </c>
      <c r="L31" s="109">
        <v>11</v>
      </c>
      <c r="M31" s="130">
        <v>300</v>
      </c>
      <c r="N31" s="130">
        <f>+(1200-75-32-32)+(5450-(50+150))/2+(1.15*40*H31)</f>
        <v>4146</v>
      </c>
      <c r="O31" s="130"/>
      <c r="P31" s="130"/>
      <c r="Q31" s="110"/>
      <c r="R31" s="129"/>
      <c r="S31" s="129"/>
      <c r="T31" s="129"/>
      <c r="U31" s="129"/>
      <c r="V31" s="128">
        <f t="shared" si="116"/>
        <v>4426</v>
      </c>
      <c r="W31" s="108"/>
      <c r="X31" s="39"/>
      <c r="Y31" s="108">
        <v>1</v>
      </c>
      <c r="Z31" s="108">
        <f t="shared" si="96"/>
        <v>20</v>
      </c>
      <c r="AA31" s="108"/>
      <c r="AB31" s="55">
        <f t="shared" si="97"/>
        <v>53112</v>
      </c>
      <c r="AC31" s="56" t="str">
        <f t="shared" si="98"/>
        <v/>
      </c>
      <c r="AD31" s="56">
        <f t="shared" si="99"/>
        <v>53112</v>
      </c>
      <c r="AE31" s="56" t="str">
        <f t="shared" si="100"/>
        <v/>
      </c>
      <c r="AF31" s="56" t="str">
        <f t="shared" si="101"/>
        <v/>
      </c>
      <c r="AG31" s="56" t="str">
        <f t="shared" si="102"/>
        <v/>
      </c>
      <c r="AH31" s="56" t="str">
        <f t="shared" si="103"/>
        <v/>
      </c>
      <c r="AI31" s="111" t="str">
        <f t="shared" si="104"/>
        <v/>
      </c>
      <c r="AJ31" s="57" t="str">
        <f t="shared" si="105"/>
        <v/>
      </c>
    </row>
    <row r="32" spans="1:36" ht="60" customHeight="1" x14ac:dyDescent="0.25">
      <c r="A32" s="107">
        <f t="shared" si="112"/>
        <v>26</v>
      </c>
      <c r="B32" s="132" t="s">
        <v>185</v>
      </c>
      <c r="C32" s="132" t="s">
        <v>162</v>
      </c>
      <c r="D32" s="108"/>
      <c r="E32" s="108"/>
      <c r="F32" s="143" t="s">
        <v>190</v>
      </c>
      <c r="G32" s="137" t="s">
        <v>188</v>
      </c>
      <c r="H32" s="131">
        <v>10</v>
      </c>
      <c r="I32" s="131">
        <v>6</v>
      </c>
      <c r="J32" s="131">
        <v>2</v>
      </c>
      <c r="K32" s="108">
        <f t="shared" si="114"/>
        <v>12</v>
      </c>
      <c r="L32" s="109">
        <v>11</v>
      </c>
      <c r="M32" s="130">
        <v>300</v>
      </c>
      <c r="N32" s="130">
        <f>+(1200-75-32-32)+(5450-(50+150))/2-(0.15*40*H32)</f>
        <v>3626</v>
      </c>
      <c r="O32" s="130"/>
      <c r="P32" s="130"/>
      <c r="Q32" s="110"/>
      <c r="R32" s="129"/>
      <c r="S32" s="129"/>
      <c r="T32" s="129"/>
      <c r="U32" s="129"/>
      <c r="V32" s="128">
        <f t="shared" si="116"/>
        <v>3906</v>
      </c>
      <c r="W32" s="108"/>
      <c r="X32" s="39"/>
      <c r="Y32" s="108">
        <v>1</v>
      </c>
      <c r="Z32" s="108">
        <f t="shared" si="96"/>
        <v>20</v>
      </c>
      <c r="AA32" s="108"/>
      <c r="AB32" s="55">
        <f t="shared" si="97"/>
        <v>46872</v>
      </c>
      <c r="AC32" s="56" t="str">
        <f t="shared" si="98"/>
        <v/>
      </c>
      <c r="AD32" s="56">
        <f t="shared" si="99"/>
        <v>46872</v>
      </c>
      <c r="AE32" s="56" t="str">
        <f t="shared" si="100"/>
        <v/>
      </c>
      <c r="AF32" s="56" t="str">
        <f t="shared" si="101"/>
        <v/>
      </c>
      <c r="AG32" s="56" t="str">
        <f t="shared" si="102"/>
        <v/>
      </c>
      <c r="AH32" s="56" t="str">
        <f t="shared" si="103"/>
        <v/>
      </c>
      <c r="AI32" s="111" t="str">
        <f t="shared" si="104"/>
        <v/>
      </c>
      <c r="AJ32" s="57" t="str">
        <f t="shared" si="105"/>
        <v/>
      </c>
    </row>
    <row r="33" spans="1:36" ht="60" customHeight="1" x14ac:dyDescent="0.25">
      <c r="A33" s="107">
        <f t="shared" si="112"/>
        <v>27</v>
      </c>
      <c r="B33" s="132" t="s">
        <v>185</v>
      </c>
      <c r="C33" s="132" t="s">
        <v>162</v>
      </c>
      <c r="D33" s="108">
        <v>1000</v>
      </c>
      <c r="E33" s="108">
        <v>100</v>
      </c>
      <c r="F33" s="143" t="s">
        <v>191</v>
      </c>
      <c r="G33" s="137" t="s">
        <v>192</v>
      </c>
      <c r="H33" s="131">
        <v>10</v>
      </c>
      <c r="I33" s="131">
        <v>6</v>
      </c>
      <c r="J33" s="131">
        <f>+ROUND(D33/E33,0)+1</f>
        <v>11</v>
      </c>
      <c r="K33" s="108">
        <f t="shared" si="114"/>
        <v>66</v>
      </c>
      <c r="L33" s="109" t="s">
        <v>147</v>
      </c>
      <c r="M33" s="130">
        <f>900-50-50</f>
        <v>800</v>
      </c>
      <c r="N33" s="130">
        <f>450-50-50</f>
        <v>350</v>
      </c>
      <c r="O33" s="130">
        <f>900-50-50</f>
        <v>800</v>
      </c>
      <c r="P33" s="130">
        <f>450-50-50</f>
        <v>350</v>
      </c>
      <c r="Q33" s="110">
        <f>+MAX(75,8*H33)</f>
        <v>80</v>
      </c>
      <c r="R33" s="129">
        <f>+MAX(75,8*H33)</f>
        <v>80</v>
      </c>
      <c r="S33" s="129"/>
      <c r="T33" s="129"/>
      <c r="U33" s="129"/>
      <c r="V33" s="128">
        <f t="shared" si="115"/>
        <v>2340</v>
      </c>
      <c r="W33" s="108"/>
      <c r="X33" s="39"/>
      <c r="Y33" s="108">
        <v>6</v>
      </c>
      <c r="Z33" s="108">
        <f t="shared" si="96"/>
        <v>120</v>
      </c>
      <c r="AA33" s="108"/>
      <c r="AB33" s="55">
        <f t="shared" si="97"/>
        <v>154440</v>
      </c>
      <c r="AC33" s="56" t="str">
        <f t="shared" si="98"/>
        <v/>
      </c>
      <c r="AD33" s="56">
        <f t="shared" si="99"/>
        <v>154440</v>
      </c>
      <c r="AE33" s="56" t="str">
        <f t="shared" si="100"/>
        <v/>
      </c>
      <c r="AF33" s="56" t="str">
        <f t="shared" si="101"/>
        <v/>
      </c>
      <c r="AG33" s="56" t="str">
        <f t="shared" si="102"/>
        <v/>
      </c>
      <c r="AH33" s="56" t="str">
        <f t="shared" si="103"/>
        <v/>
      </c>
      <c r="AI33" s="111" t="str">
        <f t="shared" si="104"/>
        <v/>
      </c>
      <c r="AJ33" s="57" t="str">
        <f t="shared" si="105"/>
        <v/>
      </c>
    </row>
    <row r="34" spans="1:36" ht="60" customHeight="1" x14ac:dyDescent="0.25">
      <c r="A34" s="107">
        <f t="shared" si="112"/>
        <v>28</v>
      </c>
      <c r="B34" s="132" t="s">
        <v>185</v>
      </c>
      <c r="C34" s="132" t="s">
        <v>162</v>
      </c>
      <c r="D34" s="108">
        <v>1000</v>
      </c>
      <c r="E34" s="108">
        <v>100</v>
      </c>
      <c r="F34" s="143" t="s">
        <v>193</v>
      </c>
      <c r="G34" s="137" t="s">
        <v>192</v>
      </c>
      <c r="H34" s="131">
        <v>10</v>
      </c>
      <c r="I34" s="131">
        <f>2*6</f>
        <v>12</v>
      </c>
      <c r="J34" s="131">
        <f>+ROUND(D34/E34,0)+1</f>
        <v>11</v>
      </c>
      <c r="K34" s="108">
        <f t="shared" si="114"/>
        <v>132</v>
      </c>
      <c r="L34" s="109">
        <v>212</v>
      </c>
      <c r="M34" s="130">
        <f>450-50-50</f>
        <v>350</v>
      </c>
      <c r="N34" s="130">
        <f>97+10</f>
        <v>107</v>
      </c>
      <c r="O34" s="130">
        <f>1.42*(107+10)</f>
        <v>166.14</v>
      </c>
      <c r="P34" s="130">
        <f>107+10</f>
        <v>117</v>
      </c>
      <c r="Q34" s="130">
        <f>1.42*(107+10)</f>
        <v>166.14</v>
      </c>
      <c r="R34" s="130">
        <f>97+10</f>
        <v>107</v>
      </c>
      <c r="S34" s="129">
        <f>+MAX(75,8*H34)</f>
        <v>80</v>
      </c>
      <c r="T34" s="129">
        <f>+MAX(75,8*H34)</f>
        <v>80</v>
      </c>
      <c r="U34" s="129"/>
      <c r="V34" s="128">
        <f t="shared" si="115"/>
        <v>1053.28</v>
      </c>
      <c r="W34" s="108"/>
      <c r="X34" s="39"/>
      <c r="Y34" s="108">
        <v>6</v>
      </c>
      <c r="Z34" s="108">
        <f t="shared" si="96"/>
        <v>120</v>
      </c>
      <c r="AA34" s="108"/>
      <c r="AB34" s="55">
        <f t="shared" si="97"/>
        <v>139032.95999999999</v>
      </c>
      <c r="AC34" s="56" t="str">
        <f t="shared" si="98"/>
        <v/>
      </c>
      <c r="AD34" s="56">
        <f t="shared" si="99"/>
        <v>139032.95999999999</v>
      </c>
      <c r="AE34" s="56" t="str">
        <f t="shared" si="100"/>
        <v/>
      </c>
      <c r="AF34" s="56" t="str">
        <f t="shared" si="101"/>
        <v/>
      </c>
      <c r="AG34" s="56" t="str">
        <f t="shared" si="102"/>
        <v/>
      </c>
      <c r="AH34" s="56" t="str">
        <f t="shared" si="103"/>
        <v/>
      </c>
      <c r="AI34" s="111" t="str">
        <f t="shared" si="104"/>
        <v/>
      </c>
      <c r="AJ34" s="57" t="str">
        <f t="shared" si="105"/>
        <v/>
      </c>
    </row>
    <row r="35" spans="1:36" ht="60" customHeight="1" x14ac:dyDescent="0.25">
      <c r="A35" s="107">
        <f t="shared" si="112"/>
        <v>29</v>
      </c>
      <c r="B35" s="132" t="s">
        <v>185</v>
      </c>
      <c r="C35" s="132" t="s">
        <v>162</v>
      </c>
      <c r="D35" s="108">
        <v>1000</v>
      </c>
      <c r="E35" s="108">
        <v>100</v>
      </c>
      <c r="F35" s="143" t="s">
        <v>194</v>
      </c>
      <c r="G35" s="137" t="s">
        <v>192</v>
      </c>
      <c r="H35" s="131">
        <v>10</v>
      </c>
      <c r="I35" s="131">
        <v>6</v>
      </c>
      <c r="J35" s="131">
        <f>+ROUND(D35/E35,0)+1</f>
        <v>11</v>
      </c>
      <c r="K35" s="108">
        <f t="shared" si="114"/>
        <v>66</v>
      </c>
      <c r="L35" s="109" t="s">
        <v>147</v>
      </c>
      <c r="M35" s="130">
        <f>97+97+10</f>
        <v>204</v>
      </c>
      <c r="N35" s="130">
        <f>450-50-50</f>
        <v>350</v>
      </c>
      <c r="O35" s="130">
        <f>97+97+10</f>
        <v>204</v>
      </c>
      <c r="P35" s="130">
        <f>450-50-50</f>
        <v>350</v>
      </c>
      <c r="Q35" s="110">
        <f>+MAX(75,8*H35)</f>
        <v>80</v>
      </c>
      <c r="R35" s="129">
        <f>+MAX(75,8*H35)</f>
        <v>80</v>
      </c>
      <c r="S35" s="129"/>
      <c r="T35" s="129"/>
      <c r="U35" s="129"/>
      <c r="V35" s="128">
        <f t="shared" si="115"/>
        <v>1148</v>
      </c>
      <c r="W35" s="108"/>
      <c r="X35" s="39"/>
      <c r="Y35" s="108">
        <v>6</v>
      </c>
      <c r="Z35" s="108">
        <f t="shared" si="96"/>
        <v>120</v>
      </c>
      <c r="AA35" s="108"/>
      <c r="AB35" s="55">
        <f t="shared" si="97"/>
        <v>75768</v>
      </c>
      <c r="AC35" s="56" t="str">
        <f t="shared" si="98"/>
        <v/>
      </c>
      <c r="AD35" s="56">
        <f t="shared" si="99"/>
        <v>75768</v>
      </c>
      <c r="AE35" s="56" t="str">
        <f t="shared" si="100"/>
        <v/>
      </c>
      <c r="AF35" s="56" t="str">
        <f t="shared" si="101"/>
        <v/>
      </c>
      <c r="AG35" s="56" t="str">
        <f t="shared" si="102"/>
        <v/>
      </c>
      <c r="AH35" s="56" t="str">
        <f t="shared" si="103"/>
        <v/>
      </c>
      <c r="AI35" s="111" t="str">
        <f t="shared" si="104"/>
        <v/>
      </c>
      <c r="AJ35" s="57" t="str">
        <f t="shared" si="105"/>
        <v/>
      </c>
    </row>
    <row r="36" spans="1:36" ht="60" customHeight="1" x14ac:dyDescent="0.25">
      <c r="A36" s="107">
        <f t="shared" si="112"/>
        <v>30</v>
      </c>
      <c r="B36" s="132" t="s">
        <v>185</v>
      </c>
      <c r="C36" s="132" t="s">
        <v>162</v>
      </c>
      <c r="D36" s="108"/>
      <c r="E36" s="108"/>
      <c r="F36" s="143" t="s">
        <v>195</v>
      </c>
      <c r="G36" s="137" t="s">
        <v>187</v>
      </c>
      <c r="H36" s="131">
        <v>20</v>
      </c>
      <c r="I36" s="131">
        <v>2</v>
      </c>
      <c r="J36" s="131">
        <v>2</v>
      </c>
      <c r="K36" s="108">
        <f t="shared" ref="K36:K38" si="117">I36*J36</f>
        <v>4</v>
      </c>
      <c r="L36" s="109" t="s">
        <v>136</v>
      </c>
      <c r="M36" s="130">
        <v>300</v>
      </c>
      <c r="N36" s="130">
        <f>+(1200-75-32-25)+1200+300</f>
        <v>2568</v>
      </c>
      <c r="O36" s="130"/>
      <c r="P36" s="130"/>
      <c r="Q36" s="110"/>
      <c r="R36" s="129"/>
      <c r="S36" s="129"/>
      <c r="T36" s="129"/>
      <c r="U36" s="129"/>
      <c r="V36" s="128">
        <f t="shared" ref="V36:V38" si="118">+SUM(M36:U36)-Z36</f>
        <v>2828</v>
      </c>
      <c r="W36" s="108"/>
      <c r="X36" s="39"/>
      <c r="Y36" s="108">
        <v>1</v>
      </c>
      <c r="Z36" s="108">
        <f t="shared" ref="Z36:Z38" si="119">2*H36*Y36</f>
        <v>40</v>
      </c>
      <c r="AA36" s="108"/>
      <c r="AB36" s="55">
        <f t="shared" ref="AB36:AB38" si="120">+IF(H36="","",K36*V36)</f>
        <v>11312</v>
      </c>
      <c r="AC36" s="56" t="str">
        <f t="shared" ref="AC36:AC38" si="121">IF(H36=8,K36*V36,"")</f>
        <v/>
      </c>
      <c r="AD36" s="56" t="str">
        <f t="shared" ref="AD36:AD38" si="122">IF(H36=10,K36*V36,"")</f>
        <v/>
      </c>
      <c r="AE36" s="56" t="str">
        <f t="shared" ref="AE36:AE38" si="123">IF(H36=12,K36*V36,"")</f>
        <v/>
      </c>
      <c r="AF36" s="56" t="str">
        <f t="shared" ref="AF36:AF38" si="124">IF(H36=16,K36*V36,"")</f>
        <v/>
      </c>
      <c r="AG36" s="56">
        <f t="shared" ref="AG36:AG38" si="125">IF(H36=20,K36*V36,"")</f>
        <v>11312</v>
      </c>
      <c r="AH36" s="56" t="str">
        <f t="shared" ref="AH36:AH38" si="126">IF(H36=25,K36*V36,"")</f>
        <v/>
      </c>
      <c r="AI36" s="111" t="str">
        <f t="shared" ref="AI36:AI38" si="127">IF(H36=32,K36*V36,"")</f>
        <v/>
      </c>
      <c r="AJ36" s="57" t="str">
        <f t="shared" ref="AJ36:AJ38" si="128">IF(H36=40,K36*L36,"")</f>
        <v/>
      </c>
    </row>
    <row r="37" spans="1:36" ht="60" customHeight="1" x14ac:dyDescent="0.25">
      <c r="A37" s="107">
        <f t="shared" si="112"/>
        <v>31</v>
      </c>
      <c r="B37" s="132" t="s">
        <v>185</v>
      </c>
      <c r="C37" s="132" t="s">
        <v>162</v>
      </c>
      <c r="D37" s="108"/>
      <c r="E37" s="108"/>
      <c r="F37" s="143" t="s">
        <v>195</v>
      </c>
      <c r="G37" s="137" t="s">
        <v>188</v>
      </c>
      <c r="H37" s="131">
        <v>20</v>
      </c>
      <c r="I37" s="131">
        <v>2</v>
      </c>
      <c r="J37" s="131">
        <v>2</v>
      </c>
      <c r="K37" s="108">
        <f t="shared" si="117"/>
        <v>4</v>
      </c>
      <c r="L37" s="109" t="s">
        <v>136</v>
      </c>
      <c r="M37" s="130">
        <v>300</v>
      </c>
      <c r="N37" s="130">
        <f>+(1200-75-32-25)+1200</f>
        <v>2268</v>
      </c>
      <c r="O37" s="130"/>
      <c r="P37" s="130"/>
      <c r="Q37" s="110"/>
      <c r="R37" s="129"/>
      <c r="S37" s="129"/>
      <c r="T37" s="129"/>
      <c r="U37" s="129"/>
      <c r="V37" s="128">
        <f t="shared" si="118"/>
        <v>2528</v>
      </c>
      <c r="W37" s="108"/>
      <c r="X37" s="39"/>
      <c r="Y37" s="108">
        <v>1</v>
      </c>
      <c r="Z37" s="108">
        <f t="shared" si="119"/>
        <v>40</v>
      </c>
      <c r="AA37" s="108"/>
      <c r="AB37" s="55">
        <f t="shared" si="120"/>
        <v>10112</v>
      </c>
      <c r="AC37" s="56" t="str">
        <f t="shared" si="121"/>
        <v/>
      </c>
      <c r="AD37" s="56" t="str">
        <f t="shared" si="122"/>
        <v/>
      </c>
      <c r="AE37" s="56" t="str">
        <f t="shared" si="123"/>
        <v/>
      </c>
      <c r="AF37" s="56" t="str">
        <f t="shared" si="124"/>
        <v/>
      </c>
      <c r="AG37" s="56">
        <f t="shared" si="125"/>
        <v>10112</v>
      </c>
      <c r="AH37" s="56" t="str">
        <f t="shared" si="126"/>
        <v/>
      </c>
      <c r="AI37" s="111" t="str">
        <f t="shared" si="127"/>
        <v/>
      </c>
      <c r="AJ37" s="57" t="str">
        <f t="shared" si="128"/>
        <v/>
      </c>
    </row>
    <row r="38" spans="1:36" ht="60" customHeight="1" x14ac:dyDescent="0.25">
      <c r="A38" s="107">
        <f t="shared" si="112"/>
        <v>32</v>
      </c>
      <c r="B38" s="132" t="s">
        <v>185</v>
      </c>
      <c r="C38" s="132" t="s">
        <v>162</v>
      </c>
      <c r="D38" s="108">
        <v>1000</v>
      </c>
      <c r="E38" s="108">
        <v>100</v>
      </c>
      <c r="F38" s="143" t="s">
        <v>191</v>
      </c>
      <c r="G38" s="137" t="s">
        <v>192</v>
      </c>
      <c r="H38" s="131">
        <v>10</v>
      </c>
      <c r="I38" s="131">
        <f>1*2</f>
        <v>2</v>
      </c>
      <c r="J38" s="131">
        <f>+ROUND(D38/E38,0)+1</f>
        <v>11</v>
      </c>
      <c r="K38" s="108">
        <f t="shared" si="117"/>
        <v>22</v>
      </c>
      <c r="L38" s="109" t="s">
        <v>147</v>
      </c>
      <c r="M38" s="130">
        <f>200-50-50</f>
        <v>100</v>
      </c>
      <c r="N38" s="130">
        <f>450-50-50</f>
        <v>350</v>
      </c>
      <c r="O38" s="130">
        <f>200-50-50</f>
        <v>100</v>
      </c>
      <c r="P38" s="130">
        <f>450-50-50</f>
        <v>350</v>
      </c>
      <c r="Q38" s="110">
        <f>+MAX(75,8*H38)</f>
        <v>80</v>
      </c>
      <c r="R38" s="129">
        <f>+MAX(75,8*H38)</f>
        <v>80</v>
      </c>
      <c r="S38" s="129"/>
      <c r="T38" s="129"/>
      <c r="U38" s="129"/>
      <c r="V38" s="128">
        <f t="shared" si="118"/>
        <v>940</v>
      </c>
      <c r="W38" s="108"/>
      <c r="X38" s="39"/>
      <c r="Y38" s="108">
        <v>6</v>
      </c>
      <c r="Z38" s="108">
        <f t="shared" si="119"/>
        <v>120</v>
      </c>
      <c r="AA38" s="108"/>
      <c r="AB38" s="55">
        <f t="shared" si="120"/>
        <v>20680</v>
      </c>
      <c r="AC38" s="56" t="str">
        <f t="shared" si="121"/>
        <v/>
      </c>
      <c r="AD38" s="56">
        <f t="shared" si="122"/>
        <v>20680</v>
      </c>
      <c r="AE38" s="56" t="str">
        <f t="shared" si="123"/>
        <v/>
      </c>
      <c r="AF38" s="56" t="str">
        <f t="shared" si="124"/>
        <v/>
      </c>
      <c r="AG38" s="56" t="str">
        <f t="shared" si="125"/>
        <v/>
      </c>
      <c r="AH38" s="56" t="str">
        <f t="shared" si="126"/>
        <v/>
      </c>
      <c r="AI38" s="111" t="str">
        <f t="shared" si="127"/>
        <v/>
      </c>
      <c r="AJ38" s="57" t="str">
        <f t="shared" si="128"/>
        <v/>
      </c>
    </row>
    <row r="39" spans="1:36" ht="60" customHeight="1" x14ac:dyDescent="0.25">
      <c r="A39" s="107">
        <f t="shared" si="112"/>
        <v>33</v>
      </c>
      <c r="B39" s="132" t="s">
        <v>185</v>
      </c>
      <c r="C39" s="132" t="s">
        <v>162</v>
      </c>
      <c r="D39" s="108"/>
      <c r="E39" s="108"/>
      <c r="F39" s="143" t="s">
        <v>196</v>
      </c>
      <c r="G39" s="137" t="s">
        <v>187</v>
      </c>
      <c r="H39" s="131">
        <v>20</v>
      </c>
      <c r="I39" s="131">
        <v>1</v>
      </c>
      <c r="J39" s="131">
        <v>4</v>
      </c>
      <c r="K39" s="108">
        <f t="shared" ref="K39:K43" si="129">I39*J39</f>
        <v>4</v>
      </c>
      <c r="L39" s="109" t="s">
        <v>136</v>
      </c>
      <c r="M39" s="130">
        <v>300</v>
      </c>
      <c r="N39" s="130">
        <f>+(1200-75-32-25)+1200+300</f>
        <v>2568</v>
      </c>
      <c r="O39" s="130"/>
      <c r="P39" s="130"/>
      <c r="Q39" s="110"/>
      <c r="R39" s="129"/>
      <c r="S39" s="129"/>
      <c r="T39" s="129"/>
      <c r="U39" s="129"/>
      <c r="V39" s="128">
        <f t="shared" ref="V39:V64" si="130">+SUM(M39:U39)-Z39</f>
        <v>2828</v>
      </c>
      <c r="W39" s="108"/>
      <c r="X39" s="39"/>
      <c r="Y39" s="108">
        <v>1</v>
      </c>
      <c r="Z39" s="108">
        <f t="shared" ref="Z39:Z41" si="131">2*H39*Y39</f>
        <v>40</v>
      </c>
      <c r="AA39" s="108"/>
      <c r="AB39" s="55">
        <f t="shared" ref="AB39:AB41" si="132">+IF(H39="","",K39*V39)</f>
        <v>11312</v>
      </c>
      <c r="AC39" s="56" t="str">
        <f t="shared" ref="AC39:AC41" si="133">IF(H39=8,K39*V39,"")</f>
        <v/>
      </c>
      <c r="AD39" s="56" t="str">
        <f t="shared" ref="AD39:AD41" si="134">IF(H39=10,K39*V39,"")</f>
        <v/>
      </c>
      <c r="AE39" s="56" t="str">
        <f t="shared" ref="AE39:AE41" si="135">IF(H39=12,K39*V39,"")</f>
        <v/>
      </c>
      <c r="AF39" s="56" t="str">
        <f t="shared" ref="AF39:AF41" si="136">IF(H39=16,K39*V39,"")</f>
        <v/>
      </c>
      <c r="AG39" s="56">
        <f t="shared" ref="AG39:AG41" si="137">IF(H39=20,K39*V39,"")</f>
        <v>11312</v>
      </c>
      <c r="AH39" s="56" t="str">
        <f t="shared" ref="AH39:AH41" si="138">IF(H39=25,K39*V39,"")</f>
        <v/>
      </c>
      <c r="AI39" s="111" t="str">
        <f t="shared" ref="AI39:AI41" si="139">IF(H39=32,K39*V39,"")</f>
        <v/>
      </c>
      <c r="AJ39" s="57" t="str">
        <f t="shared" ref="AJ39:AJ41" si="140">IF(H39=40,K39*L39,"")</f>
        <v/>
      </c>
    </row>
    <row r="40" spans="1:36" ht="60" customHeight="1" x14ac:dyDescent="0.25">
      <c r="A40" s="107">
        <f t="shared" si="112"/>
        <v>34</v>
      </c>
      <c r="B40" s="132" t="s">
        <v>185</v>
      </c>
      <c r="C40" s="132" t="s">
        <v>162</v>
      </c>
      <c r="D40" s="108"/>
      <c r="E40" s="108"/>
      <c r="F40" s="143" t="s">
        <v>196</v>
      </c>
      <c r="G40" s="137" t="s">
        <v>188</v>
      </c>
      <c r="H40" s="131">
        <v>20</v>
      </c>
      <c r="I40" s="131">
        <v>1</v>
      </c>
      <c r="J40" s="131">
        <v>4</v>
      </c>
      <c r="K40" s="108">
        <f t="shared" si="129"/>
        <v>4</v>
      </c>
      <c r="L40" s="109" t="s">
        <v>136</v>
      </c>
      <c r="M40" s="130">
        <v>300</v>
      </c>
      <c r="N40" s="130">
        <f>+(1200-75-32-25)+1200</f>
        <v>2268</v>
      </c>
      <c r="O40" s="130"/>
      <c r="P40" s="130"/>
      <c r="Q40" s="110"/>
      <c r="R40" s="129"/>
      <c r="S40" s="129"/>
      <c r="T40" s="129"/>
      <c r="U40" s="129"/>
      <c r="V40" s="128">
        <f t="shared" si="130"/>
        <v>2528</v>
      </c>
      <c r="W40" s="108"/>
      <c r="X40" s="39"/>
      <c r="Y40" s="108">
        <v>1</v>
      </c>
      <c r="Z40" s="108">
        <f t="shared" si="131"/>
        <v>40</v>
      </c>
      <c r="AA40" s="108"/>
      <c r="AB40" s="55">
        <f t="shared" si="132"/>
        <v>10112</v>
      </c>
      <c r="AC40" s="56" t="str">
        <f t="shared" si="133"/>
        <v/>
      </c>
      <c r="AD40" s="56" t="str">
        <f t="shared" si="134"/>
        <v/>
      </c>
      <c r="AE40" s="56" t="str">
        <f t="shared" si="135"/>
        <v/>
      </c>
      <c r="AF40" s="56" t="str">
        <f t="shared" si="136"/>
        <v/>
      </c>
      <c r="AG40" s="56">
        <f t="shared" si="137"/>
        <v>10112</v>
      </c>
      <c r="AH40" s="56" t="str">
        <f t="shared" si="138"/>
        <v/>
      </c>
      <c r="AI40" s="111" t="str">
        <f t="shared" si="139"/>
        <v/>
      </c>
      <c r="AJ40" s="57" t="str">
        <f t="shared" si="140"/>
        <v/>
      </c>
    </row>
    <row r="41" spans="1:36" ht="60" customHeight="1" x14ac:dyDescent="0.25">
      <c r="A41" s="107">
        <f t="shared" si="112"/>
        <v>35</v>
      </c>
      <c r="B41" s="132" t="s">
        <v>185</v>
      </c>
      <c r="C41" s="132" t="s">
        <v>162</v>
      </c>
      <c r="D41" s="108">
        <v>1000</v>
      </c>
      <c r="E41" s="108">
        <v>100</v>
      </c>
      <c r="F41" s="143" t="s">
        <v>191</v>
      </c>
      <c r="G41" s="137" t="s">
        <v>192</v>
      </c>
      <c r="H41" s="131">
        <v>10</v>
      </c>
      <c r="I41" s="131">
        <v>1</v>
      </c>
      <c r="J41" s="131">
        <f t="shared" ref="J41:J46" si="141">+ROUND(D41/E41,0)+1</f>
        <v>11</v>
      </c>
      <c r="K41" s="108">
        <f t="shared" si="129"/>
        <v>11</v>
      </c>
      <c r="L41" s="109" t="s">
        <v>147</v>
      </c>
      <c r="M41" s="130">
        <f>300-50-50</f>
        <v>200</v>
      </c>
      <c r="N41" s="130">
        <f>450-50-50</f>
        <v>350</v>
      </c>
      <c r="O41" s="130">
        <f>300-50-50</f>
        <v>200</v>
      </c>
      <c r="P41" s="130">
        <f>450-50-50</f>
        <v>350</v>
      </c>
      <c r="Q41" s="110">
        <f>+MAX(75,8*H41)</f>
        <v>80</v>
      </c>
      <c r="R41" s="129">
        <f>+MAX(75,8*H41)</f>
        <v>80</v>
      </c>
      <c r="S41" s="129"/>
      <c r="T41" s="129"/>
      <c r="U41" s="129"/>
      <c r="V41" s="128">
        <f t="shared" si="130"/>
        <v>1140</v>
      </c>
      <c r="W41" s="108"/>
      <c r="X41" s="39"/>
      <c r="Y41" s="108">
        <v>6</v>
      </c>
      <c r="Z41" s="108">
        <f t="shared" si="131"/>
        <v>120</v>
      </c>
      <c r="AA41" s="108"/>
      <c r="AB41" s="55">
        <f t="shared" si="132"/>
        <v>12540</v>
      </c>
      <c r="AC41" s="56" t="str">
        <f t="shared" si="133"/>
        <v/>
      </c>
      <c r="AD41" s="56">
        <f t="shared" si="134"/>
        <v>12540</v>
      </c>
      <c r="AE41" s="56" t="str">
        <f t="shared" si="135"/>
        <v/>
      </c>
      <c r="AF41" s="56" t="str">
        <f t="shared" si="136"/>
        <v/>
      </c>
      <c r="AG41" s="56" t="str">
        <f t="shared" si="137"/>
        <v/>
      </c>
      <c r="AH41" s="56" t="str">
        <f t="shared" si="138"/>
        <v/>
      </c>
      <c r="AI41" s="111" t="str">
        <f t="shared" si="139"/>
        <v/>
      </c>
      <c r="AJ41" s="57" t="str">
        <f t="shared" si="140"/>
        <v/>
      </c>
    </row>
    <row r="42" spans="1:36" ht="60" customHeight="1" x14ac:dyDescent="0.25">
      <c r="A42" s="107">
        <f t="shared" si="112"/>
        <v>36</v>
      </c>
      <c r="B42" s="132" t="s">
        <v>185</v>
      </c>
      <c r="C42" s="132" t="s">
        <v>162</v>
      </c>
      <c r="D42" s="108">
        <f>9000-450-450-450-300-50-50</f>
        <v>7250</v>
      </c>
      <c r="E42" s="108">
        <f>200*2</f>
        <v>400</v>
      </c>
      <c r="F42" s="143" t="s">
        <v>197</v>
      </c>
      <c r="G42" s="137" t="s">
        <v>187</v>
      </c>
      <c r="H42" s="131">
        <v>20</v>
      </c>
      <c r="I42" s="131">
        <v>1</v>
      </c>
      <c r="J42" s="131">
        <f t="shared" si="141"/>
        <v>19</v>
      </c>
      <c r="K42" s="108">
        <f t="shared" si="129"/>
        <v>19</v>
      </c>
      <c r="L42" s="109" t="s">
        <v>136</v>
      </c>
      <c r="M42" s="130">
        <v>300</v>
      </c>
      <c r="N42" s="130">
        <f>+(1200-75-32-25)+1200+300</f>
        <v>2568</v>
      </c>
      <c r="O42" s="130"/>
      <c r="P42" s="130"/>
      <c r="Q42" s="110"/>
      <c r="R42" s="129"/>
      <c r="S42" s="129"/>
      <c r="T42" s="129"/>
      <c r="U42" s="129"/>
      <c r="V42" s="128">
        <f t="shared" si="130"/>
        <v>2828</v>
      </c>
      <c r="W42" s="108"/>
      <c r="X42" s="39"/>
      <c r="Y42" s="108">
        <v>1</v>
      </c>
      <c r="Z42" s="108">
        <f t="shared" ref="Z42:Z64" si="142">2*H42*Y42</f>
        <v>40</v>
      </c>
      <c r="AA42" s="108"/>
      <c r="AB42" s="55">
        <f t="shared" ref="AB42:AB64" si="143">+IF(H42="","",K42*V42)</f>
        <v>53732</v>
      </c>
      <c r="AC42" s="56" t="str">
        <f t="shared" ref="AC42:AC64" si="144">IF(H42=8,K42*V42,"")</f>
        <v/>
      </c>
      <c r="AD42" s="56" t="str">
        <f t="shared" ref="AD42:AD64" si="145">IF(H42=10,K42*V42,"")</f>
        <v/>
      </c>
      <c r="AE42" s="56" t="str">
        <f t="shared" ref="AE42:AE64" si="146">IF(H42=12,K42*V42,"")</f>
        <v/>
      </c>
      <c r="AF42" s="56" t="str">
        <f t="shared" ref="AF42:AF64" si="147">IF(H42=16,K42*V42,"")</f>
        <v/>
      </c>
      <c r="AG42" s="56">
        <f t="shared" ref="AG42:AG64" si="148">IF(H42=20,K42*V42,"")</f>
        <v>53732</v>
      </c>
      <c r="AH42" s="56" t="str">
        <f t="shared" ref="AH42:AH64" si="149">IF(H42=25,K42*V42,"")</f>
        <v/>
      </c>
      <c r="AI42" s="111" t="str">
        <f t="shared" ref="AI42:AI64" si="150">IF(H42=32,K42*V42,"")</f>
        <v/>
      </c>
      <c r="AJ42" s="57" t="str">
        <f t="shared" ref="AJ42:AJ64" si="151">IF(H42=40,K42*L42,"")</f>
        <v/>
      </c>
    </row>
    <row r="43" spans="1:36" ht="60" customHeight="1" x14ac:dyDescent="0.25">
      <c r="A43" s="107">
        <f t="shared" si="112"/>
        <v>37</v>
      </c>
      <c r="B43" s="132" t="s">
        <v>185</v>
      </c>
      <c r="C43" s="132" t="s">
        <v>162</v>
      </c>
      <c r="D43" s="108">
        <f>9000-450-450-450-300-50-50</f>
        <v>7250</v>
      </c>
      <c r="E43" s="108">
        <f>200*2</f>
        <v>400</v>
      </c>
      <c r="F43" s="143" t="s">
        <v>197</v>
      </c>
      <c r="G43" s="137" t="s">
        <v>188</v>
      </c>
      <c r="H43" s="131">
        <v>20</v>
      </c>
      <c r="I43" s="131">
        <v>1</v>
      </c>
      <c r="J43" s="131">
        <f t="shared" si="141"/>
        <v>19</v>
      </c>
      <c r="K43" s="108">
        <f t="shared" si="129"/>
        <v>19</v>
      </c>
      <c r="L43" s="109" t="s">
        <v>136</v>
      </c>
      <c r="M43" s="130">
        <v>300</v>
      </c>
      <c r="N43" s="130">
        <f>+(1200-75-32-25)+1200</f>
        <v>2268</v>
      </c>
      <c r="O43" s="130"/>
      <c r="P43" s="130"/>
      <c r="Q43" s="110"/>
      <c r="R43" s="129"/>
      <c r="S43" s="129"/>
      <c r="T43" s="129"/>
      <c r="U43" s="129"/>
      <c r="V43" s="128">
        <f t="shared" si="130"/>
        <v>2528</v>
      </c>
      <c r="W43" s="108"/>
      <c r="X43" s="39"/>
      <c r="Y43" s="108">
        <v>1</v>
      </c>
      <c r="Z43" s="108">
        <f t="shared" si="142"/>
        <v>40</v>
      </c>
      <c r="AA43" s="108"/>
      <c r="AB43" s="55">
        <f t="shared" si="143"/>
        <v>48032</v>
      </c>
      <c r="AC43" s="56" t="str">
        <f t="shared" si="144"/>
        <v/>
      </c>
      <c r="AD43" s="56" t="str">
        <f t="shared" si="145"/>
        <v/>
      </c>
      <c r="AE43" s="56" t="str">
        <f t="shared" si="146"/>
        <v/>
      </c>
      <c r="AF43" s="56" t="str">
        <f t="shared" si="147"/>
        <v/>
      </c>
      <c r="AG43" s="56">
        <f t="shared" si="148"/>
        <v>48032</v>
      </c>
      <c r="AH43" s="56" t="str">
        <f t="shared" si="149"/>
        <v/>
      </c>
      <c r="AI43" s="111" t="str">
        <f t="shared" si="150"/>
        <v/>
      </c>
      <c r="AJ43" s="57" t="str">
        <f t="shared" si="151"/>
        <v/>
      </c>
    </row>
    <row r="44" spans="1:36" ht="60" customHeight="1" x14ac:dyDescent="0.25">
      <c r="A44" s="107">
        <f t="shared" si="112"/>
        <v>38</v>
      </c>
      <c r="B44" s="132" t="s">
        <v>185</v>
      </c>
      <c r="C44" s="132" t="s">
        <v>162</v>
      </c>
      <c r="D44" s="108">
        <f>9000-450-450-450-300-50-50</f>
        <v>7250</v>
      </c>
      <c r="E44" s="108">
        <f>200*2</f>
        <v>400</v>
      </c>
      <c r="F44" s="143" t="s">
        <v>198</v>
      </c>
      <c r="G44" s="137" t="s">
        <v>187</v>
      </c>
      <c r="H44" s="131">
        <v>16</v>
      </c>
      <c r="I44" s="131">
        <v>1</v>
      </c>
      <c r="J44" s="131">
        <f t="shared" si="141"/>
        <v>19</v>
      </c>
      <c r="K44" s="108">
        <f t="shared" ref="K44:K46" si="152">I44*J44</f>
        <v>19</v>
      </c>
      <c r="L44" s="109">
        <v>11</v>
      </c>
      <c r="M44" s="130">
        <v>300</v>
      </c>
      <c r="N44" s="130">
        <f t="shared" ref="N44" si="153">+(1300-75-32-32)+(5450-(50+150))/2+(1.15*40*H44)</f>
        <v>4522</v>
      </c>
      <c r="O44" s="130"/>
      <c r="P44" s="130"/>
      <c r="Q44" s="110"/>
      <c r="R44" s="129"/>
      <c r="S44" s="129"/>
      <c r="T44" s="129"/>
      <c r="U44" s="129"/>
      <c r="V44" s="128">
        <f t="shared" ref="V44:V45" si="154">+SUM(M44:U44)-Z44</f>
        <v>4790</v>
      </c>
      <c r="W44" s="108"/>
      <c r="X44" s="39"/>
      <c r="Y44" s="108">
        <v>1</v>
      </c>
      <c r="Z44" s="108">
        <f t="shared" ref="Z44:Z45" si="155">2*H44*Y44</f>
        <v>32</v>
      </c>
      <c r="AA44" s="108"/>
      <c r="AB44" s="55">
        <f t="shared" ref="AB44:AB45" si="156">+IF(H44="","",K44*V44)</f>
        <v>91010</v>
      </c>
      <c r="AC44" s="56" t="str">
        <f t="shared" ref="AC44:AC45" si="157">IF(H44=8,K44*V44,"")</f>
        <v/>
      </c>
      <c r="AD44" s="56" t="str">
        <f t="shared" ref="AD44:AD45" si="158">IF(H44=10,K44*V44,"")</f>
        <v/>
      </c>
      <c r="AE44" s="56" t="str">
        <f t="shared" ref="AE44:AE45" si="159">IF(H44=12,K44*V44,"")</f>
        <v/>
      </c>
      <c r="AF44" s="56">
        <f t="shared" ref="AF44:AF45" si="160">IF(H44=16,K44*V44,"")</f>
        <v>91010</v>
      </c>
      <c r="AG44" s="56" t="str">
        <f t="shared" ref="AG44:AG45" si="161">IF(H44=20,K44*V44,"")</f>
        <v/>
      </c>
      <c r="AH44" s="56" t="str">
        <f t="shared" ref="AH44:AH45" si="162">IF(H44=25,K44*V44,"")</f>
        <v/>
      </c>
      <c r="AI44" s="111" t="str">
        <f t="shared" ref="AI44:AI45" si="163">IF(H44=32,K44*V44,"")</f>
        <v/>
      </c>
      <c r="AJ44" s="57" t="str">
        <f t="shared" ref="AJ44:AJ45" si="164">IF(H44=40,K44*L44,"")</f>
        <v/>
      </c>
    </row>
    <row r="45" spans="1:36" ht="60" customHeight="1" x14ac:dyDescent="0.25">
      <c r="A45" s="107">
        <f t="shared" si="112"/>
        <v>39</v>
      </c>
      <c r="B45" s="132" t="s">
        <v>185</v>
      </c>
      <c r="C45" s="132" t="s">
        <v>162</v>
      </c>
      <c r="D45" s="108">
        <f>9000-450-450-450-300-50-50</f>
        <v>7250</v>
      </c>
      <c r="E45" s="108">
        <f>200*2</f>
        <v>400</v>
      </c>
      <c r="F45" s="143" t="s">
        <v>198</v>
      </c>
      <c r="G45" s="137" t="s">
        <v>188</v>
      </c>
      <c r="H45" s="131">
        <v>16</v>
      </c>
      <c r="I45" s="131">
        <v>1</v>
      </c>
      <c r="J45" s="131">
        <f t="shared" si="141"/>
        <v>19</v>
      </c>
      <c r="K45" s="108">
        <f t="shared" si="152"/>
        <v>19</v>
      </c>
      <c r="L45" s="109">
        <v>11</v>
      </c>
      <c r="M45" s="130">
        <v>300</v>
      </c>
      <c r="N45" s="130">
        <f t="shared" ref="N45" si="165">+(1300-75-32-32)+(5450-(50+150))/2-(0.15*40*H45)</f>
        <v>3690</v>
      </c>
      <c r="O45" s="130"/>
      <c r="P45" s="130"/>
      <c r="Q45" s="110"/>
      <c r="R45" s="129"/>
      <c r="S45" s="129"/>
      <c r="T45" s="129"/>
      <c r="U45" s="129"/>
      <c r="V45" s="128">
        <f t="shared" si="154"/>
        <v>3958</v>
      </c>
      <c r="W45" s="108"/>
      <c r="X45" s="39"/>
      <c r="Y45" s="108">
        <v>1</v>
      </c>
      <c r="Z45" s="108">
        <f t="shared" si="155"/>
        <v>32</v>
      </c>
      <c r="AA45" s="108"/>
      <c r="AB45" s="55">
        <f t="shared" si="156"/>
        <v>75202</v>
      </c>
      <c r="AC45" s="56" t="str">
        <f t="shared" si="157"/>
        <v/>
      </c>
      <c r="AD45" s="56" t="str">
        <f t="shared" si="158"/>
        <v/>
      </c>
      <c r="AE45" s="56" t="str">
        <f t="shared" si="159"/>
        <v/>
      </c>
      <c r="AF45" s="56">
        <f t="shared" si="160"/>
        <v>75202</v>
      </c>
      <c r="AG45" s="56" t="str">
        <f t="shared" si="161"/>
        <v/>
      </c>
      <c r="AH45" s="56" t="str">
        <f t="shared" si="162"/>
        <v/>
      </c>
      <c r="AI45" s="111" t="str">
        <f t="shared" si="163"/>
        <v/>
      </c>
      <c r="AJ45" s="57" t="str">
        <f t="shared" si="164"/>
        <v/>
      </c>
    </row>
    <row r="46" spans="1:36" ht="60" customHeight="1" x14ac:dyDescent="0.25">
      <c r="A46" s="107">
        <f t="shared" si="112"/>
        <v>40</v>
      </c>
      <c r="B46" s="132" t="s">
        <v>185</v>
      </c>
      <c r="C46" s="132" t="s">
        <v>162</v>
      </c>
      <c r="D46" s="108">
        <v>1000</v>
      </c>
      <c r="E46" s="108">
        <v>200</v>
      </c>
      <c r="F46" s="143" t="s">
        <v>199</v>
      </c>
      <c r="G46" s="137" t="s">
        <v>53</v>
      </c>
      <c r="H46" s="131">
        <v>12</v>
      </c>
      <c r="I46" s="131">
        <v>1</v>
      </c>
      <c r="J46" s="131">
        <f t="shared" si="141"/>
        <v>6</v>
      </c>
      <c r="K46" s="108">
        <f t="shared" si="152"/>
        <v>6</v>
      </c>
      <c r="L46" s="109" t="s">
        <v>133</v>
      </c>
      <c r="M46" s="130">
        <f>+(750-50-50)/2+150</f>
        <v>475</v>
      </c>
      <c r="N46" s="130">
        <f>9000-50-50</f>
        <v>8900</v>
      </c>
      <c r="O46" s="130">
        <f>+(750-50-50)/2+150</f>
        <v>475</v>
      </c>
      <c r="P46" s="130"/>
      <c r="Q46" s="110"/>
      <c r="R46" s="129"/>
      <c r="S46" s="129"/>
      <c r="T46" s="129"/>
      <c r="U46" s="129"/>
      <c r="V46" s="128">
        <f t="shared" si="130"/>
        <v>9802</v>
      </c>
      <c r="W46" s="108"/>
      <c r="X46" s="39"/>
      <c r="Y46" s="108">
        <v>2</v>
      </c>
      <c r="Z46" s="108">
        <f t="shared" si="142"/>
        <v>48</v>
      </c>
      <c r="AA46" s="108"/>
      <c r="AB46" s="55">
        <f t="shared" si="143"/>
        <v>58812</v>
      </c>
      <c r="AC46" s="56" t="str">
        <f t="shared" si="144"/>
        <v/>
      </c>
      <c r="AD46" s="56" t="str">
        <f t="shared" si="145"/>
        <v/>
      </c>
      <c r="AE46" s="56">
        <f t="shared" si="146"/>
        <v>58812</v>
      </c>
      <c r="AF46" s="56" t="str">
        <f t="shared" si="147"/>
        <v/>
      </c>
      <c r="AG46" s="56" t="str">
        <f t="shared" si="148"/>
        <v/>
      </c>
      <c r="AH46" s="56" t="str">
        <f t="shared" si="149"/>
        <v/>
      </c>
      <c r="AI46" s="111" t="str">
        <f t="shared" si="150"/>
        <v/>
      </c>
      <c r="AJ46" s="57" t="str">
        <f t="shared" si="151"/>
        <v/>
      </c>
    </row>
    <row r="47" spans="1:36" ht="60" customHeight="1" x14ac:dyDescent="0.25">
      <c r="A47" s="107"/>
      <c r="B47" s="132"/>
      <c r="C47" s="132"/>
      <c r="D47" s="108"/>
      <c r="E47" s="108"/>
      <c r="F47" s="143"/>
      <c r="G47" s="137"/>
      <c r="H47" s="131"/>
      <c r="I47" s="131"/>
      <c r="J47" s="131"/>
      <c r="K47" s="108"/>
      <c r="L47" s="109">
        <v>101</v>
      </c>
      <c r="M47" s="130">
        <v>12</v>
      </c>
      <c r="N47" s="130">
        <v>123</v>
      </c>
      <c r="O47" s="130">
        <v>343</v>
      </c>
      <c r="P47" s="130"/>
      <c r="Q47" s="110"/>
      <c r="R47" s="129"/>
      <c r="S47" s="129"/>
      <c r="T47" s="129"/>
      <c r="U47" s="129"/>
      <c r="V47" s="128">
        <f t="shared" si="130"/>
        <v>478</v>
      </c>
      <c r="W47" s="108"/>
      <c r="X47" s="39"/>
      <c r="Y47" s="108">
        <v>0</v>
      </c>
      <c r="Z47" s="108">
        <f t="shared" si="142"/>
        <v>0</v>
      </c>
      <c r="AA47" s="108"/>
      <c r="AB47" s="55" t="str">
        <f t="shared" si="143"/>
        <v/>
      </c>
      <c r="AC47" s="56" t="str">
        <f t="shared" si="144"/>
        <v/>
      </c>
      <c r="AD47" s="56" t="str">
        <f t="shared" si="145"/>
        <v/>
      </c>
      <c r="AE47" s="56" t="str">
        <f t="shared" si="146"/>
        <v/>
      </c>
      <c r="AF47" s="56" t="str">
        <f t="shared" si="147"/>
        <v/>
      </c>
      <c r="AG47" s="56" t="str">
        <f t="shared" si="148"/>
        <v/>
      </c>
      <c r="AH47" s="56" t="str">
        <f t="shared" si="149"/>
        <v/>
      </c>
      <c r="AI47" s="111" t="str">
        <f t="shared" si="150"/>
        <v/>
      </c>
      <c r="AJ47" s="57" t="str">
        <f t="shared" si="151"/>
        <v/>
      </c>
    </row>
    <row r="48" spans="1:36" ht="60" customHeight="1" x14ac:dyDescent="0.25">
      <c r="A48" s="107"/>
      <c r="B48" s="132"/>
      <c r="C48" s="132"/>
      <c r="D48" s="108"/>
      <c r="E48" s="108"/>
      <c r="F48" s="143"/>
      <c r="G48" s="137"/>
      <c r="H48" s="131"/>
      <c r="I48" s="131"/>
      <c r="J48" s="131"/>
      <c r="K48" s="108"/>
      <c r="L48" s="109"/>
      <c r="M48" s="130"/>
      <c r="N48" s="130"/>
      <c r="O48" s="130"/>
      <c r="P48" s="130"/>
      <c r="Q48" s="110"/>
      <c r="R48" s="129"/>
      <c r="S48" s="129"/>
      <c r="T48" s="129"/>
      <c r="U48" s="129"/>
      <c r="V48" s="128">
        <f t="shared" si="130"/>
        <v>0</v>
      </c>
      <c r="W48" s="108"/>
      <c r="X48" s="39"/>
      <c r="Y48" s="108">
        <v>0</v>
      </c>
      <c r="Z48" s="108">
        <f t="shared" si="142"/>
        <v>0</v>
      </c>
      <c r="AA48" s="108"/>
      <c r="AB48" s="55" t="str">
        <f t="shared" si="143"/>
        <v/>
      </c>
      <c r="AC48" s="56" t="str">
        <f t="shared" si="144"/>
        <v/>
      </c>
      <c r="AD48" s="56" t="str">
        <f t="shared" si="145"/>
        <v/>
      </c>
      <c r="AE48" s="56" t="str">
        <f t="shared" si="146"/>
        <v/>
      </c>
      <c r="AF48" s="56" t="str">
        <f t="shared" si="147"/>
        <v/>
      </c>
      <c r="AG48" s="56" t="str">
        <f t="shared" si="148"/>
        <v/>
      </c>
      <c r="AH48" s="56" t="str">
        <f t="shared" si="149"/>
        <v/>
      </c>
      <c r="AI48" s="111" t="str">
        <f t="shared" si="150"/>
        <v/>
      </c>
      <c r="AJ48" s="57" t="str">
        <f t="shared" si="151"/>
        <v/>
      </c>
    </row>
    <row r="49" spans="1:36" ht="60" customHeight="1" x14ac:dyDescent="0.25">
      <c r="A49" s="107"/>
      <c r="B49" s="132"/>
      <c r="C49" s="132"/>
      <c r="D49" s="108"/>
      <c r="E49" s="108"/>
      <c r="F49" s="143"/>
      <c r="G49" s="137"/>
      <c r="H49" s="131"/>
      <c r="I49" s="131"/>
      <c r="J49" s="131"/>
      <c r="K49" s="108"/>
      <c r="L49" s="109"/>
      <c r="M49" s="130"/>
      <c r="N49" s="130"/>
      <c r="O49" s="130"/>
      <c r="P49" s="130"/>
      <c r="Q49" s="110"/>
      <c r="R49" s="129"/>
      <c r="S49" s="129"/>
      <c r="T49" s="129"/>
      <c r="U49" s="129"/>
      <c r="V49" s="128">
        <f t="shared" si="130"/>
        <v>0</v>
      </c>
      <c r="W49" s="108"/>
      <c r="X49" s="39"/>
      <c r="Y49" s="108">
        <v>0</v>
      </c>
      <c r="Z49" s="108">
        <f t="shared" si="142"/>
        <v>0</v>
      </c>
      <c r="AA49" s="108"/>
      <c r="AB49" s="55" t="str">
        <f t="shared" si="143"/>
        <v/>
      </c>
      <c r="AC49" s="56" t="str">
        <f t="shared" si="144"/>
        <v/>
      </c>
      <c r="AD49" s="56" t="str">
        <f t="shared" si="145"/>
        <v/>
      </c>
      <c r="AE49" s="56" t="str">
        <f t="shared" si="146"/>
        <v/>
      </c>
      <c r="AF49" s="56" t="str">
        <f t="shared" si="147"/>
        <v/>
      </c>
      <c r="AG49" s="56" t="str">
        <f t="shared" si="148"/>
        <v/>
      </c>
      <c r="AH49" s="56" t="str">
        <f t="shared" si="149"/>
        <v/>
      </c>
      <c r="AI49" s="111" t="str">
        <f t="shared" si="150"/>
        <v/>
      </c>
      <c r="AJ49" s="57" t="str">
        <f t="shared" si="151"/>
        <v/>
      </c>
    </row>
    <row r="50" spans="1:36" ht="60" customHeight="1" x14ac:dyDescent="0.25">
      <c r="A50" s="107"/>
      <c r="B50" s="132"/>
      <c r="C50" s="132"/>
      <c r="D50" s="108"/>
      <c r="E50" s="108"/>
      <c r="F50" s="143"/>
      <c r="G50" s="137"/>
      <c r="H50" s="131"/>
      <c r="I50" s="131"/>
      <c r="J50" s="131"/>
      <c r="K50" s="108"/>
      <c r="L50" s="109"/>
      <c r="M50" s="130"/>
      <c r="N50" s="130"/>
      <c r="O50" s="130"/>
      <c r="P50" s="130"/>
      <c r="Q50" s="110"/>
      <c r="R50" s="129"/>
      <c r="S50" s="129"/>
      <c r="T50" s="129"/>
      <c r="U50" s="129"/>
      <c r="V50" s="128">
        <f t="shared" si="130"/>
        <v>0</v>
      </c>
      <c r="W50" s="108"/>
      <c r="X50" s="39"/>
      <c r="Y50" s="108">
        <v>0</v>
      </c>
      <c r="Z50" s="108">
        <f t="shared" si="142"/>
        <v>0</v>
      </c>
      <c r="AA50" s="108"/>
      <c r="AB50" s="55" t="str">
        <f t="shared" si="143"/>
        <v/>
      </c>
      <c r="AC50" s="56" t="str">
        <f t="shared" si="144"/>
        <v/>
      </c>
      <c r="AD50" s="56" t="str">
        <f t="shared" si="145"/>
        <v/>
      </c>
      <c r="AE50" s="56" t="str">
        <f t="shared" si="146"/>
        <v/>
      </c>
      <c r="AF50" s="56" t="str">
        <f t="shared" si="147"/>
        <v/>
      </c>
      <c r="AG50" s="56" t="str">
        <f t="shared" si="148"/>
        <v/>
      </c>
      <c r="AH50" s="56" t="str">
        <f t="shared" si="149"/>
        <v/>
      </c>
      <c r="AI50" s="111" t="str">
        <f t="shared" si="150"/>
        <v/>
      </c>
      <c r="AJ50" s="57" t="str">
        <f t="shared" si="151"/>
        <v/>
      </c>
    </row>
    <row r="51" spans="1:36" ht="60" customHeight="1" x14ac:dyDescent="0.25">
      <c r="A51" s="107"/>
      <c r="B51" s="132"/>
      <c r="C51" s="132"/>
      <c r="D51" s="108"/>
      <c r="E51" s="108"/>
      <c r="F51" s="143"/>
      <c r="G51" s="137"/>
      <c r="H51" s="131"/>
      <c r="I51" s="131"/>
      <c r="J51" s="131"/>
      <c r="K51" s="108"/>
      <c r="L51" s="109"/>
      <c r="M51" s="130"/>
      <c r="N51" s="130"/>
      <c r="O51" s="130"/>
      <c r="P51" s="130"/>
      <c r="Q51" s="110"/>
      <c r="R51" s="129"/>
      <c r="S51" s="129"/>
      <c r="T51" s="129"/>
      <c r="U51" s="129"/>
      <c r="V51" s="128">
        <f t="shared" si="130"/>
        <v>0</v>
      </c>
      <c r="W51" s="108"/>
      <c r="X51" s="39"/>
      <c r="Y51" s="108">
        <v>0</v>
      </c>
      <c r="Z51" s="108">
        <f t="shared" si="142"/>
        <v>0</v>
      </c>
      <c r="AA51" s="108"/>
      <c r="AB51" s="55" t="str">
        <f t="shared" si="143"/>
        <v/>
      </c>
      <c r="AC51" s="56" t="str">
        <f t="shared" si="144"/>
        <v/>
      </c>
      <c r="AD51" s="56" t="str">
        <f t="shared" si="145"/>
        <v/>
      </c>
      <c r="AE51" s="56" t="str">
        <f t="shared" si="146"/>
        <v/>
      </c>
      <c r="AF51" s="56" t="str">
        <f t="shared" si="147"/>
        <v/>
      </c>
      <c r="AG51" s="56" t="str">
        <f t="shared" si="148"/>
        <v/>
      </c>
      <c r="AH51" s="56" t="str">
        <f t="shared" si="149"/>
        <v/>
      </c>
      <c r="AI51" s="111" t="str">
        <f t="shared" si="150"/>
        <v/>
      </c>
      <c r="AJ51" s="57" t="str">
        <f t="shared" si="151"/>
        <v/>
      </c>
    </row>
    <row r="52" spans="1:36" ht="60" customHeight="1" x14ac:dyDescent="0.25">
      <c r="A52" s="107"/>
      <c r="B52" s="132"/>
      <c r="C52" s="132"/>
      <c r="D52" s="108"/>
      <c r="E52" s="108"/>
      <c r="F52" s="143"/>
      <c r="G52" s="137"/>
      <c r="H52" s="131"/>
      <c r="I52" s="131"/>
      <c r="J52" s="131"/>
      <c r="K52" s="108"/>
      <c r="L52" s="109"/>
      <c r="M52" s="130"/>
      <c r="N52" s="130"/>
      <c r="O52" s="130"/>
      <c r="P52" s="130"/>
      <c r="Q52" s="110"/>
      <c r="R52" s="129"/>
      <c r="S52" s="129"/>
      <c r="T52" s="129"/>
      <c r="U52" s="129"/>
      <c r="V52" s="128">
        <f t="shared" si="130"/>
        <v>0</v>
      </c>
      <c r="W52" s="108"/>
      <c r="X52" s="39"/>
      <c r="Y52" s="108">
        <v>0</v>
      </c>
      <c r="Z52" s="108">
        <f t="shared" si="142"/>
        <v>0</v>
      </c>
      <c r="AA52" s="108"/>
      <c r="AB52" s="55" t="str">
        <f t="shared" si="143"/>
        <v/>
      </c>
      <c r="AC52" s="56" t="str">
        <f t="shared" si="144"/>
        <v/>
      </c>
      <c r="AD52" s="56" t="str">
        <f t="shared" si="145"/>
        <v/>
      </c>
      <c r="AE52" s="56" t="str">
        <f t="shared" si="146"/>
        <v/>
      </c>
      <c r="AF52" s="56" t="str">
        <f t="shared" si="147"/>
        <v/>
      </c>
      <c r="AG52" s="56" t="str">
        <f t="shared" si="148"/>
        <v/>
      </c>
      <c r="AH52" s="56" t="str">
        <f t="shared" si="149"/>
        <v/>
      </c>
      <c r="AI52" s="111" t="str">
        <f t="shared" si="150"/>
        <v/>
      </c>
      <c r="AJ52" s="57" t="str">
        <f t="shared" si="151"/>
        <v/>
      </c>
    </row>
    <row r="53" spans="1:36" ht="60" customHeight="1" x14ac:dyDescent="0.25">
      <c r="A53" s="107"/>
      <c r="B53" s="132"/>
      <c r="C53" s="132"/>
      <c r="D53" s="108"/>
      <c r="E53" s="108"/>
      <c r="F53" s="143"/>
      <c r="G53" s="137"/>
      <c r="H53" s="131"/>
      <c r="I53" s="131"/>
      <c r="J53" s="131"/>
      <c r="K53" s="108"/>
      <c r="L53" s="109"/>
      <c r="M53" s="130"/>
      <c r="N53" s="130"/>
      <c r="O53" s="130"/>
      <c r="P53" s="130"/>
      <c r="Q53" s="110"/>
      <c r="R53" s="129"/>
      <c r="S53" s="129"/>
      <c r="T53" s="129"/>
      <c r="U53" s="129"/>
      <c r="V53" s="128">
        <f t="shared" si="130"/>
        <v>0</v>
      </c>
      <c r="W53" s="108"/>
      <c r="X53" s="39"/>
      <c r="Y53" s="108">
        <v>0</v>
      </c>
      <c r="Z53" s="108">
        <f t="shared" si="142"/>
        <v>0</v>
      </c>
      <c r="AA53" s="108"/>
      <c r="AB53" s="55" t="str">
        <f t="shared" si="143"/>
        <v/>
      </c>
      <c r="AC53" s="56" t="str">
        <f t="shared" si="144"/>
        <v/>
      </c>
      <c r="AD53" s="56" t="str">
        <f t="shared" si="145"/>
        <v/>
      </c>
      <c r="AE53" s="56" t="str">
        <f t="shared" si="146"/>
        <v/>
      </c>
      <c r="AF53" s="56" t="str">
        <f t="shared" si="147"/>
        <v/>
      </c>
      <c r="AG53" s="56" t="str">
        <f t="shared" si="148"/>
        <v/>
      </c>
      <c r="AH53" s="56" t="str">
        <f t="shared" si="149"/>
        <v/>
      </c>
      <c r="AI53" s="111" t="str">
        <f t="shared" si="150"/>
        <v/>
      </c>
      <c r="AJ53" s="57" t="str">
        <f t="shared" si="151"/>
        <v/>
      </c>
    </row>
    <row r="54" spans="1:36" ht="60" customHeight="1" x14ac:dyDescent="0.25">
      <c r="A54" s="107"/>
      <c r="B54" s="132"/>
      <c r="C54" s="132"/>
      <c r="D54" s="108"/>
      <c r="E54" s="108"/>
      <c r="F54" s="143"/>
      <c r="G54" s="137"/>
      <c r="H54" s="131"/>
      <c r="I54" s="131"/>
      <c r="J54" s="131"/>
      <c r="K54" s="108"/>
      <c r="L54" s="109"/>
      <c r="M54" s="130"/>
      <c r="N54" s="130"/>
      <c r="O54" s="130"/>
      <c r="P54" s="130"/>
      <c r="Q54" s="110"/>
      <c r="R54" s="129"/>
      <c r="S54" s="129"/>
      <c r="T54" s="129"/>
      <c r="U54" s="129"/>
      <c r="V54" s="128">
        <f t="shared" si="130"/>
        <v>0</v>
      </c>
      <c r="W54" s="108"/>
      <c r="X54" s="39"/>
      <c r="Y54" s="108">
        <v>0</v>
      </c>
      <c r="Z54" s="108">
        <f t="shared" si="142"/>
        <v>0</v>
      </c>
      <c r="AA54" s="108"/>
      <c r="AB54" s="55" t="str">
        <f t="shared" si="143"/>
        <v/>
      </c>
      <c r="AC54" s="56" t="str">
        <f t="shared" si="144"/>
        <v/>
      </c>
      <c r="AD54" s="56" t="str">
        <f t="shared" si="145"/>
        <v/>
      </c>
      <c r="AE54" s="56" t="str">
        <f t="shared" si="146"/>
        <v/>
      </c>
      <c r="AF54" s="56" t="str">
        <f t="shared" si="147"/>
        <v/>
      </c>
      <c r="AG54" s="56" t="str">
        <f t="shared" si="148"/>
        <v/>
      </c>
      <c r="AH54" s="56" t="str">
        <f t="shared" si="149"/>
        <v/>
      </c>
      <c r="AI54" s="111" t="str">
        <f t="shared" si="150"/>
        <v/>
      </c>
      <c r="AJ54" s="57" t="str">
        <f t="shared" si="151"/>
        <v/>
      </c>
    </row>
    <row r="55" spans="1:36" ht="60" customHeight="1" x14ac:dyDescent="0.25">
      <c r="A55" s="107"/>
      <c r="B55" s="132"/>
      <c r="C55" s="132"/>
      <c r="D55" s="108"/>
      <c r="E55" s="108"/>
      <c r="F55" s="143"/>
      <c r="G55" s="137"/>
      <c r="H55" s="131"/>
      <c r="I55" s="131"/>
      <c r="J55" s="131"/>
      <c r="K55" s="108"/>
      <c r="L55" s="109"/>
      <c r="M55" s="130"/>
      <c r="N55" s="130"/>
      <c r="O55" s="130"/>
      <c r="P55" s="130"/>
      <c r="Q55" s="110"/>
      <c r="R55" s="129"/>
      <c r="S55" s="129"/>
      <c r="T55" s="129"/>
      <c r="U55" s="129"/>
      <c r="V55" s="128">
        <f t="shared" si="130"/>
        <v>0</v>
      </c>
      <c r="W55" s="108"/>
      <c r="X55" s="39"/>
      <c r="Y55" s="108">
        <v>0</v>
      </c>
      <c r="Z55" s="108">
        <f t="shared" si="142"/>
        <v>0</v>
      </c>
      <c r="AA55" s="108"/>
      <c r="AB55" s="55" t="str">
        <f t="shared" si="143"/>
        <v/>
      </c>
      <c r="AC55" s="56" t="str">
        <f t="shared" si="144"/>
        <v/>
      </c>
      <c r="AD55" s="56" t="str">
        <f t="shared" si="145"/>
        <v/>
      </c>
      <c r="AE55" s="56" t="str">
        <f t="shared" si="146"/>
        <v/>
      </c>
      <c r="AF55" s="56" t="str">
        <f t="shared" si="147"/>
        <v/>
      </c>
      <c r="AG55" s="56" t="str">
        <f t="shared" si="148"/>
        <v/>
      </c>
      <c r="AH55" s="56" t="str">
        <f t="shared" si="149"/>
        <v/>
      </c>
      <c r="AI55" s="111" t="str">
        <f t="shared" si="150"/>
        <v/>
      </c>
      <c r="AJ55" s="57" t="str">
        <f t="shared" si="151"/>
        <v/>
      </c>
    </row>
    <row r="56" spans="1:36" ht="60" customHeight="1" x14ac:dyDescent="0.25">
      <c r="A56" s="107"/>
      <c r="B56" s="132"/>
      <c r="C56" s="132"/>
      <c r="D56" s="108"/>
      <c r="E56" s="108"/>
      <c r="F56" s="143"/>
      <c r="G56" s="137"/>
      <c r="H56" s="131"/>
      <c r="I56" s="131"/>
      <c r="J56" s="131"/>
      <c r="K56" s="108"/>
      <c r="L56" s="109"/>
      <c r="M56" s="130"/>
      <c r="N56" s="130"/>
      <c r="O56" s="130"/>
      <c r="P56" s="130"/>
      <c r="Q56" s="110"/>
      <c r="R56" s="129"/>
      <c r="S56" s="129"/>
      <c r="T56" s="129"/>
      <c r="U56" s="129"/>
      <c r="V56" s="128">
        <f t="shared" si="130"/>
        <v>0</v>
      </c>
      <c r="W56" s="108"/>
      <c r="X56" s="39"/>
      <c r="Y56" s="108">
        <v>0</v>
      </c>
      <c r="Z56" s="108">
        <f t="shared" si="142"/>
        <v>0</v>
      </c>
      <c r="AA56" s="108"/>
      <c r="AB56" s="55" t="str">
        <f t="shared" si="143"/>
        <v/>
      </c>
      <c r="AC56" s="56" t="str">
        <f t="shared" si="144"/>
        <v/>
      </c>
      <c r="AD56" s="56" t="str">
        <f t="shared" si="145"/>
        <v/>
      </c>
      <c r="AE56" s="56" t="str">
        <f t="shared" si="146"/>
        <v/>
      </c>
      <c r="AF56" s="56" t="str">
        <f t="shared" si="147"/>
        <v/>
      </c>
      <c r="AG56" s="56" t="str">
        <f t="shared" si="148"/>
        <v/>
      </c>
      <c r="AH56" s="56" t="str">
        <f t="shared" si="149"/>
        <v/>
      </c>
      <c r="AI56" s="111" t="str">
        <f t="shared" si="150"/>
        <v/>
      </c>
      <c r="AJ56" s="57" t="str">
        <f t="shared" si="151"/>
        <v/>
      </c>
    </row>
    <row r="57" spans="1:36" ht="60" customHeight="1" x14ac:dyDescent="0.25">
      <c r="A57" s="107"/>
      <c r="B57" s="132"/>
      <c r="C57" s="132"/>
      <c r="D57" s="108"/>
      <c r="E57" s="108"/>
      <c r="F57" s="143"/>
      <c r="G57" s="137"/>
      <c r="H57" s="131"/>
      <c r="I57" s="131"/>
      <c r="J57" s="131"/>
      <c r="K57" s="108"/>
      <c r="L57" s="109"/>
      <c r="M57" s="130"/>
      <c r="N57" s="130"/>
      <c r="O57" s="130"/>
      <c r="P57" s="130"/>
      <c r="Q57" s="110"/>
      <c r="R57" s="129"/>
      <c r="S57" s="129"/>
      <c r="T57" s="129"/>
      <c r="U57" s="129"/>
      <c r="V57" s="128">
        <f t="shared" si="130"/>
        <v>0</v>
      </c>
      <c r="W57" s="108"/>
      <c r="X57" s="39"/>
      <c r="Y57" s="108">
        <v>0</v>
      </c>
      <c r="Z57" s="108">
        <f t="shared" si="142"/>
        <v>0</v>
      </c>
      <c r="AA57" s="108"/>
      <c r="AB57" s="55" t="str">
        <f t="shared" si="143"/>
        <v/>
      </c>
      <c r="AC57" s="56" t="str">
        <f t="shared" si="144"/>
        <v/>
      </c>
      <c r="AD57" s="56" t="str">
        <f t="shared" si="145"/>
        <v/>
      </c>
      <c r="AE57" s="56" t="str">
        <f t="shared" si="146"/>
        <v/>
      </c>
      <c r="AF57" s="56" t="str">
        <f t="shared" si="147"/>
        <v/>
      </c>
      <c r="AG57" s="56" t="str">
        <f t="shared" si="148"/>
        <v/>
      </c>
      <c r="AH57" s="56" t="str">
        <f t="shared" si="149"/>
        <v/>
      </c>
      <c r="AI57" s="111" t="str">
        <f t="shared" si="150"/>
        <v/>
      </c>
      <c r="AJ57" s="57" t="str">
        <f t="shared" si="151"/>
        <v/>
      </c>
    </row>
    <row r="58" spans="1:36" ht="60" customHeight="1" x14ac:dyDescent="0.25">
      <c r="A58" s="107"/>
      <c r="B58" s="132"/>
      <c r="C58" s="132"/>
      <c r="D58" s="108"/>
      <c r="E58" s="108"/>
      <c r="F58" s="143"/>
      <c r="G58" s="137"/>
      <c r="H58" s="131"/>
      <c r="I58" s="131"/>
      <c r="J58" s="131"/>
      <c r="K58" s="108"/>
      <c r="L58" s="109"/>
      <c r="M58" s="130"/>
      <c r="N58" s="130"/>
      <c r="O58" s="130"/>
      <c r="P58" s="130"/>
      <c r="Q58" s="110"/>
      <c r="R58" s="129"/>
      <c r="S58" s="129"/>
      <c r="T58" s="129"/>
      <c r="U58" s="129"/>
      <c r="V58" s="128">
        <f t="shared" si="130"/>
        <v>0</v>
      </c>
      <c r="W58" s="108"/>
      <c r="X58" s="39"/>
      <c r="Y58" s="108">
        <v>0</v>
      </c>
      <c r="Z58" s="108">
        <f t="shared" si="142"/>
        <v>0</v>
      </c>
      <c r="AA58" s="108"/>
      <c r="AB58" s="55" t="str">
        <f t="shared" si="143"/>
        <v/>
      </c>
      <c r="AC58" s="56" t="str">
        <f t="shared" si="144"/>
        <v/>
      </c>
      <c r="AD58" s="56" t="str">
        <f t="shared" si="145"/>
        <v/>
      </c>
      <c r="AE58" s="56" t="str">
        <f t="shared" si="146"/>
        <v/>
      </c>
      <c r="AF58" s="56" t="str">
        <f t="shared" si="147"/>
        <v/>
      </c>
      <c r="AG58" s="56" t="str">
        <f t="shared" si="148"/>
        <v/>
      </c>
      <c r="AH58" s="56" t="str">
        <f t="shared" si="149"/>
        <v/>
      </c>
      <c r="AI58" s="111" t="str">
        <f t="shared" si="150"/>
        <v/>
      </c>
      <c r="AJ58" s="57" t="str">
        <f t="shared" si="151"/>
        <v/>
      </c>
    </row>
    <row r="59" spans="1:36" ht="60" customHeight="1" x14ac:dyDescent="0.25">
      <c r="A59" s="107"/>
      <c r="B59" s="132"/>
      <c r="C59" s="132"/>
      <c r="D59" s="108"/>
      <c r="E59" s="108"/>
      <c r="F59" s="143"/>
      <c r="G59" s="137"/>
      <c r="H59" s="131"/>
      <c r="I59" s="131"/>
      <c r="J59" s="131"/>
      <c r="K59" s="108"/>
      <c r="L59" s="109"/>
      <c r="M59" s="130"/>
      <c r="N59" s="130"/>
      <c r="O59" s="130"/>
      <c r="P59" s="130"/>
      <c r="Q59" s="110"/>
      <c r="R59" s="129"/>
      <c r="S59" s="129"/>
      <c r="T59" s="129"/>
      <c r="U59" s="129"/>
      <c r="V59" s="128">
        <f t="shared" si="130"/>
        <v>0</v>
      </c>
      <c r="W59" s="108"/>
      <c r="X59" s="39"/>
      <c r="Y59" s="108">
        <v>0</v>
      </c>
      <c r="Z59" s="108">
        <f t="shared" si="142"/>
        <v>0</v>
      </c>
      <c r="AA59" s="108"/>
      <c r="AB59" s="55" t="str">
        <f t="shared" si="143"/>
        <v/>
      </c>
      <c r="AC59" s="56" t="str">
        <f t="shared" si="144"/>
        <v/>
      </c>
      <c r="AD59" s="56" t="str">
        <f t="shared" si="145"/>
        <v/>
      </c>
      <c r="AE59" s="56" t="str">
        <f t="shared" si="146"/>
        <v/>
      </c>
      <c r="AF59" s="56" t="str">
        <f t="shared" si="147"/>
        <v/>
      </c>
      <c r="AG59" s="56" t="str">
        <f t="shared" si="148"/>
        <v/>
      </c>
      <c r="AH59" s="56" t="str">
        <f t="shared" si="149"/>
        <v/>
      </c>
      <c r="AI59" s="111" t="str">
        <f t="shared" si="150"/>
        <v/>
      </c>
      <c r="AJ59" s="57" t="str">
        <f t="shared" si="151"/>
        <v/>
      </c>
    </row>
    <row r="60" spans="1:36" ht="60" customHeight="1" x14ac:dyDescent="0.25">
      <c r="A60" s="107"/>
      <c r="B60" s="132"/>
      <c r="C60" s="132"/>
      <c r="D60" s="108"/>
      <c r="E60" s="108"/>
      <c r="F60" s="143"/>
      <c r="G60" s="137"/>
      <c r="H60" s="131"/>
      <c r="I60" s="131"/>
      <c r="J60" s="131"/>
      <c r="K60" s="108"/>
      <c r="L60" s="109"/>
      <c r="M60" s="130"/>
      <c r="N60" s="130"/>
      <c r="O60" s="130"/>
      <c r="P60" s="130"/>
      <c r="Q60" s="110"/>
      <c r="R60" s="129"/>
      <c r="S60" s="129"/>
      <c r="T60" s="129"/>
      <c r="U60" s="129"/>
      <c r="V60" s="128">
        <f t="shared" si="130"/>
        <v>0</v>
      </c>
      <c r="W60" s="108"/>
      <c r="X60" s="39"/>
      <c r="Y60" s="108">
        <v>0</v>
      </c>
      <c r="Z60" s="108">
        <f t="shared" si="142"/>
        <v>0</v>
      </c>
      <c r="AA60" s="108"/>
      <c r="AB60" s="55" t="str">
        <f t="shared" si="143"/>
        <v/>
      </c>
      <c r="AC60" s="56" t="str">
        <f t="shared" si="144"/>
        <v/>
      </c>
      <c r="AD60" s="56" t="str">
        <f t="shared" si="145"/>
        <v/>
      </c>
      <c r="AE60" s="56" t="str">
        <f t="shared" si="146"/>
        <v/>
      </c>
      <c r="AF60" s="56" t="str">
        <f t="shared" si="147"/>
        <v/>
      </c>
      <c r="AG60" s="56" t="str">
        <f t="shared" si="148"/>
        <v/>
      </c>
      <c r="AH60" s="56" t="str">
        <f t="shared" si="149"/>
        <v/>
      </c>
      <c r="AI60" s="111" t="str">
        <f t="shared" si="150"/>
        <v/>
      </c>
      <c r="AJ60" s="57" t="str">
        <f t="shared" si="151"/>
        <v/>
      </c>
    </row>
    <row r="61" spans="1:36" ht="60" customHeight="1" x14ac:dyDescent="0.25">
      <c r="A61" s="107"/>
      <c r="B61" s="132"/>
      <c r="C61" s="132"/>
      <c r="D61" s="108"/>
      <c r="E61" s="108"/>
      <c r="F61" s="143"/>
      <c r="G61" s="137"/>
      <c r="H61" s="131"/>
      <c r="I61" s="131"/>
      <c r="J61" s="131"/>
      <c r="K61" s="108"/>
      <c r="L61" s="109"/>
      <c r="M61" s="130"/>
      <c r="N61" s="130"/>
      <c r="O61" s="130"/>
      <c r="P61" s="130"/>
      <c r="Q61" s="110"/>
      <c r="R61" s="129"/>
      <c r="S61" s="129"/>
      <c r="T61" s="129"/>
      <c r="U61" s="129"/>
      <c r="V61" s="128">
        <f t="shared" si="130"/>
        <v>0</v>
      </c>
      <c r="W61" s="108"/>
      <c r="X61" s="39"/>
      <c r="Y61" s="108">
        <v>0</v>
      </c>
      <c r="Z61" s="108">
        <f t="shared" si="142"/>
        <v>0</v>
      </c>
      <c r="AA61" s="108"/>
      <c r="AB61" s="55" t="str">
        <f t="shared" si="143"/>
        <v/>
      </c>
      <c r="AC61" s="56" t="str">
        <f t="shared" si="144"/>
        <v/>
      </c>
      <c r="AD61" s="56" t="str">
        <f t="shared" si="145"/>
        <v/>
      </c>
      <c r="AE61" s="56" t="str">
        <f t="shared" si="146"/>
        <v/>
      </c>
      <c r="AF61" s="56" t="str">
        <f t="shared" si="147"/>
        <v/>
      </c>
      <c r="AG61" s="56" t="str">
        <f t="shared" si="148"/>
        <v/>
      </c>
      <c r="AH61" s="56" t="str">
        <f t="shared" si="149"/>
        <v/>
      </c>
      <c r="AI61" s="111" t="str">
        <f t="shared" si="150"/>
        <v/>
      </c>
      <c r="AJ61" s="57" t="str">
        <f t="shared" si="151"/>
        <v/>
      </c>
    </row>
    <row r="62" spans="1:36" ht="60" customHeight="1" x14ac:dyDescent="0.25">
      <c r="A62" s="107"/>
      <c r="B62" s="132"/>
      <c r="C62" s="132"/>
      <c r="D62" s="108"/>
      <c r="E62" s="108"/>
      <c r="F62" s="143"/>
      <c r="G62" s="137"/>
      <c r="H62" s="131"/>
      <c r="I62" s="131"/>
      <c r="J62" s="131"/>
      <c r="K62" s="108"/>
      <c r="L62" s="109"/>
      <c r="M62" s="130"/>
      <c r="N62" s="130"/>
      <c r="O62" s="130"/>
      <c r="P62" s="130"/>
      <c r="Q62" s="110"/>
      <c r="R62" s="129"/>
      <c r="S62" s="129"/>
      <c r="T62" s="129"/>
      <c r="U62" s="129"/>
      <c r="V62" s="128">
        <f t="shared" si="130"/>
        <v>0</v>
      </c>
      <c r="W62" s="108"/>
      <c r="X62" s="39"/>
      <c r="Y62" s="108">
        <v>0</v>
      </c>
      <c r="Z62" s="108">
        <f t="shared" si="142"/>
        <v>0</v>
      </c>
      <c r="AA62" s="108"/>
      <c r="AB62" s="55" t="str">
        <f t="shared" si="143"/>
        <v/>
      </c>
      <c r="AC62" s="56" t="str">
        <f t="shared" si="144"/>
        <v/>
      </c>
      <c r="AD62" s="56" t="str">
        <f t="shared" si="145"/>
        <v/>
      </c>
      <c r="AE62" s="56" t="str">
        <f t="shared" si="146"/>
        <v/>
      </c>
      <c r="AF62" s="56" t="str">
        <f t="shared" si="147"/>
        <v/>
      </c>
      <c r="AG62" s="56" t="str">
        <f t="shared" si="148"/>
        <v/>
      </c>
      <c r="AH62" s="56" t="str">
        <f t="shared" si="149"/>
        <v/>
      </c>
      <c r="AI62" s="111" t="str">
        <f t="shared" si="150"/>
        <v/>
      </c>
      <c r="AJ62" s="57" t="str">
        <f t="shared" si="151"/>
        <v/>
      </c>
    </row>
    <row r="63" spans="1:36" ht="60" customHeight="1" x14ac:dyDescent="0.25">
      <c r="A63" s="107"/>
      <c r="B63" s="132"/>
      <c r="C63" s="132"/>
      <c r="D63" s="108"/>
      <c r="E63" s="108"/>
      <c r="F63" s="143"/>
      <c r="G63" s="137"/>
      <c r="H63" s="131"/>
      <c r="I63" s="131"/>
      <c r="J63" s="131"/>
      <c r="K63" s="108"/>
      <c r="L63" s="109"/>
      <c r="M63" s="130"/>
      <c r="N63" s="130"/>
      <c r="O63" s="53"/>
      <c r="P63" s="53"/>
      <c r="Q63" s="110"/>
      <c r="R63" s="129"/>
      <c r="S63" s="129"/>
      <c r="T63" s="129"/>
      <c r="U63" s="129"/>
      <c r="V63" s="128">
        <f t="shared" si="130"/>
        <v>0</v>
      </c>
      <c r="W63" s="108"/>
      <c r="X63" s="39"/>
      <c r="Y63" s="108">
        <v>0</v>
      </c>
      <c r="Z63" s="108">
        <f t="shared" si="142"/>
        <v>0</v>
      </c>
      <c r="AA63" s="108"/>
      <c r="AB63" s="55" t="str">
        <f t="shared" si="143"/>
        <v/>
      </c>
      <c r="AC63" s="56" t="str">
        <f t="shared" si="144"/>
        <v/>
      </c>
      <c r="AD63" s="56" t="str">
        <f t="shared" si="145"/>
        <v/>
      </c>
      <c r="AE63" s="56" t="str">
        <f t="shared" si="146"/>
        <v/>
      </c>
      <c r="AF63" s="56" t="str">
        <f t="shared" si="147"/>
        <v/>
      </c>
      <c r="AG63" s="56" t="str">
        <f t="shared" si="148"/>
        <v/>
      </c>
      <c r="AH63" s="56" t="str">
        <f t="shared" si="149"/>
        <v/>
      </c>
      <c r="AI63" s="111" t="str">
        <f t="shared" si="150"/>
        <v/>
      </c>
      <c r="AJ63" s="57" t="str">
        <f t="shared" si="151"/>
        <v/>
      </c>
    </row>
    <row r="64" spans="1:36" ht="60" customHeight="1" x14ac:dyDescent="0.25">
      <c r="A64" s="107"/>
      <c r="B64" s="132"/>
      <c r="C64" s="132"/>
      <c r="D64" s="108"/>
      <c r="E64" s="108"/>
      <c r="F64" s="136"/>
      <c r="G64" s="137"/>
      <c r="H64" s="131"/>
      <c r="I64" s="131"/>
      <c r="J64" s="131"/>
      <c r="K64" s="108"/>
      <c r="L64" s="109"/>
      <c r="M64" s="130"/>
      <c r="N64" s="130"/>
      <c r="O64" s="138"/>
      <c r="P64" s="139"/>
      <c r="Q64" s="110"/>
      <c r="R64" s="140"/>
      <c r="S64" s="129"/>
      <c r="T64" s="129"/>
      <c r="U64" s="129"/>
      <c r="V64" s="128">
        <f t="shared" si="130"/>
        <v>0</v>
      </c>
      <c r="W64" s="108"/>
      <c r="X64" s="39"/>
      <c r="Y64" s="108">
        <v>0</v>
      </c>
      <c r="Z64" s="108">
        <f t="shared" si="142"/>
        <v>0</v>
      </c>
      <c r="AA64" s="108"/>
      <c r="AB64" s="55" t="str">
        <f t="shared" si="143"/>
        <v/>
      </c>
      <c r="AC64" s="56" t="str">
        <f t="shared" si="144"/>
        <v/>
      </c>
      <c r="AD64" s="56" t="str">
        <f t="shared" si="145"/>
        <v/>
      </c>
      <c r="AE64" s="56" t="str">
        <f t="shared" si="146"/>
        <v/>
      </c>
      <c r="AF64" s="56" t="str">
        <f t="shared" si="147"/>
        <v/>
      </c>
      <c r="AG64" s="56" t="str">
        <f t="shared" si="148"/>
        <v/>
      </c>
      <c r="AH64" s="56" t="str">
        <f t="shared" si="149"/>
        <v/>
      </c>
      <c r="AI64" s="111" t="str">
        <f t="shared" si="150"/>
        <v/>
      </c>
      <c r="AJ64" s="57" t="str">
        <f t="shared" si="151"/>
        <v/>
      </c>
    </row>
    <row r="65" spans="1:36" ht="60" customHeight="1" thickBot="1" x14ac:dyDescent="0.3">
      <c r="A65" s="107"/>
      <c r="B65" s="89"/>
      <c r="C65" s="108"/>
      <c r="D65" s="54"/>
      <c r="E65" s="108"/>
      <c r="F65" s="112"/>
      <c r="G65" s="113"/>
      <c r="H65" s="108"/>
      <c r="I65" s="108"/>
      <c r="J65" s="108"/>
      <c r="K65" s="108"/>
      <c r="L65" s="109"/>
      <c r="M65" s="130"/>
      <c r="N65" s="130"/>
      <c r="O65" s="129"/>
      <c r="P65" s="129"/>
      <c r="Q65" s="141"/>
      <c r="R65" s="129"/>
      <c r="S65" s="129"/>
      <c r="T65" s="129"/>
      <c r="U65" s="129"/>
      <c r="V65" s="128">
        <f t="shared" si="2"/>
        <v>0</v>
      </c>
      <c r="W65" s="108"/>
      <c r="X65" s="39"/>
      <c r="Y65" s="108">
        <v>0</v>
      </c>
      <c r="Z65" s="108">
        <f t="shared" si="66"/>
        <v>0</v>
      </c>
      <c r="AA65" s="108"/>
      <c r="AB65" s="55" t="str">
        <f t="shared" si="54"/>
        <v/>
      </c>
      <c r="AC65" s="56" t="str">
        <f t="shared" si="55"/>
        <v/>
      </c>
      <c r="AD65" s="56" t="str">
        <f t="shared" si="56"/>
        <v/>
      </c>
      <c r="AE65" s="56" t="str">
        <f t="shared" si="57"/>
        <v/>
      </c>
      <c r="AF65" s="56" t="str">
        <f t="shared" si="58"/>
        <v/>
      </c>
      <c r="AG65" s="56" t="str">
        <f t="shared" si="59"/>
        <v/>
      </c>
      <c r="AH65" s="56" t="str">
        <f t="shared" si="60"/>
        <v/>
      </c>
      <c r="AI65" s="111" t="str">
        <f t="shared" si="61"/>
        <v/>
      </c>
      <c r="AJ65" s="57" t="str">
        <f t="shared" si="62"/>
        <v/>
      </c>
    </row>
    <row r="66" spans="1:36" ht="26.25" customHeight="1" x14ac:dyDescent="0.25">
      <c r="A66" s="157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60"/>
      <c r="N66" s="158"/>
      <c r="O66" s="158"/>
      <c r="P66" s="158"/>
      <c r="Q66" s="163"/>
      <c r="R66" s="158"/>
      <c r="S66" s="158"/>
      <c r="T66" s="158"/>
      <c r="U66" s="158"/>
      <c r="V66" s="164"/>
      <c r="W66" s="114"/>
      <c r="X66" s="115"/>
      <c r="Y66" s="116"/>
      <c r="Z66" s="116"/>
      <c r="AA66" s="116"/>
      <c r="AB66" s="117">
        <f>SUM(AB7:AB65)</f>
        <v>4396548.96</v>
      </c>
      <c r="AC66" s="117">
        <f t="shared" ref="AC66:AJ66" si="166">SUM(AC7:AC65)</f>
        <v>0</v>
      </c>
      <c r="AD66" s="117">
        <f t="shared" si="166"/>
        <v>952372.96</v>
      </c>
      <c r="AE66" s="117">
        <f t="shared" si="166"/>
        <v>106062</v>
      </c>
      <c r="AF66" s="117">
        <f t="shared" si="166"/>
        <v>278912</v>
      </c>
      <c r="AG66" s="117">
        <f t="shared" si="166"/>
        <v>1248658</v>
      </c>
      <c r="AH66" s="117">
        <f t="shared" si="166"/>
        <v>685696</v>
      </c>
      <c r="AI66" s="117">
        <f t="shared" si="166"/>
        <v>1124848</v>
      </c>
      <c r="AJ66" s="117">
        <f t="shared" si="166"/>
        <v>0</v>
      </c>
    </row>
    <row r="67" spans="1:36" ht="26.25" customHeight="1" x14ac:dyDescent="0.25">
      <c r="A67" s="159"/>
      <c r="B67" s="160"/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5"/>
      <c r="W67" s="114"/>
      <c r="X67" s="115"/>
      <c r="Y67" s="116"/>
      <c r="Z67" s="116"/>
      <c r="AA67" s="116"/>
      <c r="AB67" s="118"/>
      <c r="AC67" s="118">
        <v>0.39500000000000002</v>
      </c>
      <c r="AD67" s="118">
        <v>0.61699999999999999</v>
      </c>
      <c r="AE67" s="118">
        <v>0.88800000000000001</v>
      </c>
      <c r="AF67" s="119">
        <v>1.58</v>
      </c>
      <c r="AG67" s="118">
        <v>2.4689999999999999</v>
      </c>
      <c r="AH67" s="118">
        <v>3.8580000000000001</v>
      </c>
      <c r="AI67" s="120">
        <v>6.32</v>
      </c>
      <c r="AJ67" s="121">
        <v>9.8759999999999994</v>
      </c>
    </row>
    <row r="68" spans="1:36" ht="26.25" customHeight="1" x14ac:dyDescent="0.25">
      <c r="A68" s="159"/>
      <c r="B68" s="160"/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5"/>
      <c r="W68" s="114"/>
      <c r="X68" s="115"/>
      <c r="Y68" s="116"/>
      <c r="Z68" s="116"/>
      <c r="AA68" s="116"/>
      <c r="AB68" s="118"/>
      <c r="AC68" s="118">
        <f t="shared" ref="AC68:AJ68" si="167">+AC66*AC67/1000</f>
        <v>0</v>
      </c>
      <c r="AD68" s="118">
        <f t="shared" si="167"/>
        <v>587.61411631999988</v>
      </c>
      <c r="AE68" s="118">
        <f t="shared" si="167"/>
        <v>94.183055999999993</v>
      </c>
      <c r="AF68" s="118">
        <f t="shared" si="167"/>
        <v>440.68096000000003</v>
      </c>
      <c r="AG68" s="118">
        <f t="shared" si="167"/>
        <v>3082.9366019999998</v>
      </c>
      <c r="AH68" s="118">
        <f t="shared" si="167"/>
        <v>2645.415168</v>
      </c>
      <c r="AI68" s="118">
        <f t="shared" si="167"/>
        <v>7109.0393600000007</v>
      </c>
      <c r="AJ68" s="121">
        <f t="shared" si="167"/>
        <v>0</v>
      </c>
    </row>
    <row r="69" spans="1:36" ht="26.25" customHeight="1" x14ac:dyDescent="0.25">
      <c r="A69" s="159"/>
      <c r="B69" s="160"/>
      <c r="C69" s="160"/>
      <c r="D69" s="160"/>
      <c r="E69" s="160"/>
      <c r="F69" s="160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0"/>
      <c r="V69" s="165"/>
      <c r="W69" s="122"/>
      <c r="X69" s="167" t="s">
        <v>148</v>
      </c>
      <c r="Y69" s="168"/>
      <c r="Z69" s="168"/>
      <c r="AA69" s="168"/>
      <c r="AB69" s="168"/>
      <c r="AC69" s="168"/>
      <c r="AD69" s="168"/>
      <c r="AE69" s="168"/>
      <c r="AF69" s="168"/>
      <c r="AG69" s="168"/>
      <c r="AH69" s="168"/>
      <c r="AI69" s="168"/>
      <c r="AJ69" s="169"/>
    </row>
    <row r="70" spans="1:36" ht="26.25" customHeight="1" thickBot="1" x14ac:dyDescent="0.3">
      <c r="A70" s="161"/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6"/>
      <c r="W70" s="123"/>
      <c r="X70" s="124"/>
      <c r="Y70" s="125"/>
      <c r="Z70" s="125"/>
      <c r="AA70" s="125"/>
      <c r="AB70" s="170">
        <f>+SUM(AC68:AJ68)/1000</f>
        <v>13.95986926232</v>
      </c>
      <c r="AC70" s="170"/>
      <c r="AD70" s="170"/>
      <c r="AE70" s="170"/>
      <c r="AF70" s="170"/>
      <c r="AG70" s="170"/>
      <c r="AH70" s="170"/>
      <c r="AI70" s="171"/>
      <c r="AJ70" s="172"/>
    </row>
    <row r="71" spans="1:36" ht="26.25" customHeight="1" x14ac:dyDescent="0.25">
      <c r="A71" s="126"/>
    </row>
    <row r="72" spans="1:36" ht="26.25" customHeight="1" x14ac:dyDescent="0.25">
      <c r="A72" s="126"/>
    </row>
    <row r="73" spans="1:36" ht="26.25" customHeight="1" x14ac:dyDescent="0.25">
      <c r="A73" s="126"/>
      <c r="D73" s="27"/>
      <c r="E73" s="127"/>
      <c r="F73" s="127"/>
    </row>
    <row r="74" spans="1:36" ht="26.25" customHeight="1" x14ac:dyDescent="0.25">
      <c r="A74" s="126"/>
      <c r="B74" s="1"/>
      <c r="E74" s="1"/>
      <c r="F74" s="1"/>
      <c r="H74" s="1"/>
      <c r="K74" s="1"/>
      <c r="M74" s="1"/>
    </row>
    <row r="75" spans="1:36" ht="26.25" customHeight="1" x14ac:dyDescent="0.25">
      <c r="A75" s="126"/>
      <c r="B75" s="1"/>
      <c r="E75" s="1"/>
      <c r="F75" s="1"/>
      <c r="H75" s="1"/>
      <c r="K75" s="1"/>
      <c r="M75" s="1"/>
    </row>
    <row r="76" spans="1:36" ht="26.25" customHeight="1" x14ac:dyDescent="0.25">
      <c r="A76" s="126"/>
      <c r="B76" s="1"/>
      <c r="E76" s="1"/>
      <c r="F76" s="1"/>
      <c r="H76" s="1"/>
      <c r="K76" s="1"/>
      <c r="M76" s="1"/>
    </row>
    <row r="77" spans="1:36" ht="26.25" customHeight="1" x14ac:dyDescent="0.25">
      <c r="A77" s="126"/>
      <c r="B77" s="1"/>
      <c r="E77" s="1"/>
      <c r="F77" s="1"/>
      <c r="H77" s="1"/>
      <c r="K77" s="1"/>
      <c r="M77" s="1"/>
    </row>
    <row r="78" spans="1:36" ht="26.25" customHeight="1" x14ac:dyDescent="0.25">
      <c r="A78" s="126"/>
      <c r="B78" s="1"/>
      <c r="E78" s="1"/>
      <c r="F78" s="1"/>
      <c r="H78" s="1"/>
      <c r="K78" s="1"/>
      <c r="M78" s="1"/>
    </row>
    <row r="79" spans="1:36" ht="26.25" customHeight="1" x14ac:dyDescent="0.25">
      <c r="A79" s="126"/>
      <c r="B79" s="1"/>
      <c r="E79" s="1"/>
      <c r="F79" s="1"/>
      <c r="H79" s="1"/>
      <c r="K79" s="1"/>
      <c r="L79" s="40" t="s">
        <v>200</v>
      </c>
      <c r="M79" s="1">
        <v>1212</v>
      </c>
    </row>
    <row r="80" spans="1:36" ht="26.25" customHeight="1" x14ac:dyDescent="0.25">
      <c r="A80" s="126"/>
      <c r="B80" s="1"/>
      <c r="E80" s="1"/>
      <c r="F80" s="1"/>
      <c r="H80" s="1"/>
      <c r="K80" s="1"/>
      <c r="L80" s="40"/>
      <c r="M80" s="1"/>
    </row>
    <row r="81" spans="1:15" ht="26.25" customHeight="1" x14ac:dyDescent="0.25">
      <c r="A81" s="126"/>
      <c r="B81" s="1"/>
      <c r="E81" s="1"/>
      <c r="F81" s="1"/>
      <c r="H81" s="1"/>
      <c r="K81" s="1"/>
      <c r="M81" s="1"/>
    </row>
    <row r="82" spans="1:15" ht="26.25" customHeight="1" x14ac:dyDescent="0.25">
      <c r="A82" s="126"/>
      <c r="B82" s="1"/>
      <c r="E82" s="1"/>
      <c r="F82" s="1"/>
      <c r="H82" s="1"/>
      <c r="K82" s="1"/>
      <c r="L82" s="1">
        <v>21</v>
      </c>
      <c r="M82" s="1">
        <v>121</v>
      </c>
      <c r="N82" s="1">
        <v>232</v>
      </c>
      <c r="O82" s="1">
        <v>23</v>
      </c>
    </row>
    <row r="83" spans="1:15" ht="26.25" customHeight="1" x14ac:dyDescent="0.25">
      <c r="A83" s="126"/>
      <c r="B83" s="1"/>
      <c r="E83" s="1"/>
      <c r="F83" s="1"/>
      <c r="H83" s="1"/>
      <c r="K83" s="1"/>
      <c r="M83" s="1"/>
    </row>
    <row r="84" spans="1:15" ht="26.25" customHeight="1" x14ac:dyDescent="0.25">
      <c r="A84" s="126"/>
      <c r="B84" s="1"/>
      <c r="E84" s="1"/>
      <c r="F84" s="1"/>
      <c r="H84" s="1"/>
      <c r="K84" s="1"/>
      <c r="M84" s="1"/>
    </row>
    <row r="85" spans="1:15" ht="26.25" customHeight="1" x14ac:dyDescent="0.25">
      <c r="A85" s="126"/>
      <c r="B85" s="1"/>
      <c r="E85" s="1"/>
      <c r="F85" s="1"/>
      <c r="H85" s="1"/>
      <c r="K85" s="1"/>
      <c r="M85" s="1"/>
    </row>
    <row r="86" spans="1:15" ht="26.25" customHeight="1" x14ac:dyDescent="0.25">
      <c r="A86" s="126"/>
      <c r="B86" s="1"/>
      <c r="E86" s="1"/>
      <c r="F86" s="1"/>
      <c r="H86" s="1"/>
      <c r="K86" s="1"/>
      <c r="M86" s="1"/>
    </row>
    <row r="87" spans="1:15" ht="26.25" customHeight="1" x14ac:dyDescent="0.25">
      <c r="A87" s="126"/>
      <c r="B87" s="1"/>
      <c r="E87" s="1"/>
      <c r="F87" s="1"/>
      <c r="H87" s="1"/>
      <c r="K87" s="1"/>
      <c r="M87" s="1"/>
    </row>
    <row r="88" spans="1:15" ht="26.25" customHeight="1" x14ac:dyDescent="0.25">
      <c r="A88" s="126"/>
      <c r="B88" s="1"/>
      <c r="E88" s="1"/>
      <c r="F88" s="1"/>
      <c r="H88" s="1"/>
      <c r="K88" s="1"/>
      <c r="M88" s="1"/>
    </row>
    <row r="89" spans="1:15" ht="26.25" customHeight="1" x14ac:dyDescent="0.25">
      <c r="A89" s="126"/>
      <c r="B89" s="1"/>
      <c r="E89" s="1"/>
      <c r="F89" s="1"/>
      <c r="H89" s="1"/>
      <c r="K89" s="1"/>
      <c r="M89" s="1"/>
    </row>
    <row r="90" spans="1:15" ht="26.25" customHeight="1" x14ac:dyDescent="0.25">
      <c r="A90" s="126"/>
      <c r="B90" s="1"/>
      <c r="E90" s="1"/>
      <c r="F90" s="1"/>
      <c r="H90" s="1"/>
      <c r="K90" s="1"/>
      <c r="M90" s="1"/>
    </row>
    <row r="91" spans="1:15" ht="26.25" customHeight="1" x14ac:dyDescent="0.25">
      <c r="A91" s="126"/>
      <c r="B91" s="1"/>
      <c r="E91" s="1"/>
      <c r="F91" s="1"/>
      <c r="H91" s="1"/>
      <c r="K91" s="1"/>
      <c r="M91" s="1"/>
    </row>
    <row r="92" spans="1:15" ht="26.25" customHeight="1" x14ac:dyDescent="0.25">
      <c r="A92" s="126"/>
      <c r="B92" s="1"/>
      <c r="E92" s="1"/>
      <c r="F92" s="1"/>
      <c r="H92" s="1"/>
      <c r="K92" s="1"/>
      <c r="M92" s="1"/>
    </row>
    <row r="93" spans="1:15" ht="26.25" customHeight="1" x14ac:dyDescent="0.25">
      <c r="A93" s="126"/>
      <c r="B93" s="1"/>
      <c r="E93" s="1"/>
      <c r="F93" s="1"/>
      <c r="H93" s="1"/>
      <c r="K93" s="1"/>
      <c r="M93" s="1"/>
    </row>
    <row r="94" spans="1:15" ht="26.25" customHeight="1" x14ac:dyDescent="0.25">
      <c r="A94" s="126"/>
      <c r="B94" s="1"/>
      <c r="E94" s="1"/>
      <c r="F94" s="1"/>
      <c r="H94" s="1"/>
      <c r="K94" s="1"/>
      <c r="M94" s="1"/>
    </row>
    <row r="95" spans="1:15" ht="26.25" customHeight="1" x14ac:dyDescent="0.25">
      <c r="A95" s="126"/>
      <c r="B95" s="1"/>
      <c r="E95" s="1"/>
      <c r="F95" s="1"/>
      <c r="H95" s="1"/>
      <c r="K95" s="1"/>
      <c r="M95" s="1"/>
    </row>
    <row r="96" spans="1:15" ht="26.25" customHeight="1" x14ac:dyDescent="0.25">
      <c r="A96" s="126"/>
      <c r="B96" s="1"/>
      <c r="E96" s="1"/>
      <c r="F96" s="1"/>
      <c r="H96" s="1"/>
      <c r="K96" s="1"/>
      <c r="M96" s="1"/>
    </row>
    <row r="97" spans="1:13" ht="26.25" customHeight="1" x14ac:dyDescent="0.25">
      <c r="A97" s="126"/>
      <c r="B97" s="1"/>
      <c r="E97" s="1"/>
      <c r="F97" s="1"/>
      <c r="H97" s="1"/>
      <c r="K97" s="1"/>
      <c r="M97" s="1"/>
    </row>
    <row r="98" spans="1:13" ht="26.25" customHeight="1" x14ac:dyDescent="0.25">
      <c r="A98" s="126"/>
      <c r="B98" s="1"/>
      <c r="E98" s="1"/>
      <c r="F98" s="1"/>
      <c r="H98" s="1"/>
      <c r="K98" s="1"/>
      <c r="M98" s="1"/>
    </row>
    <row r="99" spans="1:13" ht="26.25" customHeight="1" x14ac:dyDescent="0.25">
      <c r="A99" s="126"/>
      <c r="B99" s="1"/>
      <c r="E99" s="1"/>
      <c r="F99" s="1"/>
      <c r="H99" s="1"/>
      <c r="K99" s="1"/>
      <c r="M99" s="1"/>
    </row>
    <row r="100" spans="1:13" ht="26.25" customHeight="1" x14ac:dyDescent="0.25">
      <c r="A100" s="126"/>
      <c r="B100" s="1"/>
      <c r="E100" s="1"/>
      <c r="F100" s="1"/>
      <c r="H100" s="1"/>
      <c r="K100" s="1"/>
      <c r="M100" s="1"/>
    </row>
    <row r="101" spans="1:13" ht="26.25" customHeight="1" x14ac:dyDescent="0.25">
      <c r="A101" s="126"/>
      <c r="B101" s="1"/>
      <c r="E101" s="1"/>
      <c r="F101" s="1"/>
      <c r="H101" s="1"/>
      <c r="K101" s="1"/>
      <c r="M101" s="1"/>
    </row>
    <row r="102" spans="1:13" ht="26.25" customHeight="1" x14ac:dyDescent="0.25">
      <c r="A102" s="126"/>
      <c r="B102" s="1"/>
      <c r="E102" s="1"/>
      <c r="F102" s="1"/>
      <c r="H102" s="1"/>
      <c r="K102" s="1"/>
      <c r="M102" s="1"/>
    </row>
    <row r="103" spans="1:13" ht="26.25" customHeight="1" x14ac:dyDescent="0.25">
      <c r="A103" s="126"/>
      <c r="B103" s="1"/>
      <c r="E103" s="1"/>
      <c r="F103" s="1"/>
      <c r="H103" s="1"/>
      <c r="K103" s="1"/>
      <c r="M103" s="1"/>
    </row>
    <row r="104" spans="1:13" ht="26.25" customHeight="1" x14ac:dyDescent="0.25">
      <c r="A104" s="126"/>
      <c r="B104" s="1"/>
      <c r="E104" s="1"/>
      <c r="F104" s="1"/>
      <c r="H104" s="1"/>
      <c r="K104" s="1"/>
      <c r="M104" s="1"/>
    </row>
    <row r="105" spans="1:13" ht="26.25" customHeight="1" x14ac:dyDescent="0.25">
      <c r="A105" s="126"/>
      <c r="B105" s="1"/>
      <c r="E105" s="1"/>
      <c r="F105" s="1"/>
      <c r="H105" s="1"/>
      <c r="K105" s="1"/>
      <c r="M105" s="1"/>
    </row>
    <row r="106" spans="1:13" ht="26.25" customHeight="1" x14ac:dyDescent="0.25">
      <c r="A106" s="126"/>
      <c r="B106" s="1"/>
      <c r="E106" s="1"/>
      <c r="F106" s="1"/>
      <c r="H106" s="1"/>
      <c r="K106" s="1"/>
      <c r="M106" s="1"/>
    </row>
    <row r="107" spans="1:13" ht="26.25" customHeight="1" x14ac:dyDescent="0.25">
      <c r="A107" s="126"/>
      <c r="B107" s="1"/>
      <c r="E107" s="1"/>
      <c r="F107" s="1"/>
      <c r="H107" s="1"/>
      <c r="K107" s="1"/>
      <c r="M107" s="1"/>
    </row>
    <row r="108" spans="1:13" ht="26.25" customHeight="1" x14ac:dyDescent="0.25">
      <c r="A108" s="126"/>
      <c r="B108" s="1"/>
      <c r="E108" s="1"/>
      <c r="F108" s="1"/>
      <c r="H108" s="1"/>
      <c r="K108" s="1"/>
      <c r="M108" s="1"/>
    </row>
    <row r="109" spans="1:13" ht="26.25" customHeight="1" x14ac:dyDescent="0.25">
      <c r="A109" s="126"/>
      <c r="B109" s="1"/>
      <c r="E109" s="1"/>
      <c r="F109" s="1"/>
      <c r="H109" s="1"/>
      <c r="K109" s="1"/>
      <c r="M109" s="1"/>
    </row>
    <row r="110" spans="1:13" ht="26.25" customHeight="1" x14ac:dyDescent="0.25">
      <c r="A110" s="126"/>
      <c r="B110" s="1"/>
      <c r="E110" s="1"/>
      <c r="F110" s="1"/>
      <c r="H110" s="1"/>
      <c r="K110" s="1"/>
      <c r="M110" s="1"/>
    </row>
    <row r="111" spans="1:13" ht="26.25" customHeight="1" x14ac:dyDescent="0.25">
      <c r="A111" s="126"/>
      <c r="B111" s="1"/>
      <c r="E111" s="1"/>
      <c r="F111" s="1"/>
      <c r="H111" s="1"/>
      <c r="K111" s="1"/>
      <c r="M111" s="1"/>
    </row>
    <row r="112" spans="1:13" ht="26.25" customHeight="1" x14ac:dyDescent="0.25">
      <c r="A112" s="126"/>
      <c r="B112" s="1"/>
      <c r="E112" s="1"/>
      <c r="F112" s="1"/>
      <c r="H112" s="1"/>
      <c r="K112" s="1"/>
      <c r="M112" s="1"/>
    </row>
    <row r="113" spans="1:13" ht="26.25" customHeight="1" x14ac:dyDescent="0.25">
      <c r="A113" s="126"/>
      <c r="B113" s="1"/>
      <c r="E113" s="1"/>
      <c r="F113" s="1"/>
      <c r="H113" s="1"/>
      <c r="K113" s="1"/>
      <c r="M113" s="1"/>
    </row>
    <row r="114" spans="1:13" ht="26.25" customHeight="1" x14ac:dyDescent="0.25">
      <c r="A114" s="126"/>
      <c r="B114" s="1"/>
      <c r="E114" s="1"/>
      <c r="F114" s="1"/>
      <c r="H114" s="1"/>
      <c r="K114" s="1"/>
      <c r="M114" s="1"/>
    </row>
    <row r="115" spans="1:13" ht="26.25" customHeight="1" x14ac:dyDescent="0.25">
      <c r="A115" s="126"/>
      <c r="B115" s="1"/>
      <c r="E115" s="1"/>
      <c r="F115" s="1"/>
      <c r="H115" s="1"/>
      <c r="K115" s="1"/>
      <c r="M115" s="1"/>
    </row>
    <row r="116" spans="1:13" ht="26.25" customHeight="1" x14ac:dyDescent="0.25">
      <c r="A116" s="126"/>
      <c r="B116" s="1"/>
      <c r="E116" s="1"/>
      <c r="F116" s="1"/>
      <c r="H116" s="1"/>
      <c r="K116" s="1"/>
      <c r="M116" s="1"/>
    </row>
    <row r="117" spans="1:13" ht="26.25" customHeight="1" x14ac:dyDescent="0.25">
      <c r="A117" s="126"/>
      <c r="B117" s="1"/>
      <c r="E117" s="1"/>
      <c r="F117" s="1"/>
      <c r="H117" s="1"/>
      <c r="K117" s="1"/>
      <c r="M117" s="1"/>
    </row>
    <row r="118" spans="1:13" ht="26.25" customHeight="1" x14ac:dyDescent="0.25">
      <c r="A118" s="126"/>
      <c r="B118" s="1"/>
      <c r="E118" s="1"/>
      <c r="F118" s="1"/>
      <c r="H118" s="1"/>
      <c r="K118" s="1"/>
      <c r="M118" s="1"/>
    </row>
    <row r="119" spans="1:13" ht="26.25" customHeight="1" x14ac:dyDescent="0.25">
      <c r="A119" s="126"/>
      <c r="B119" s="1"/>
      <c r="E119" s="1"/>
      <c r="F119" s="1"/>
      <c r="H119" s="1"/>
      <c r="K119" s="1"/>
      <c r="M119" s="1"/>
    </row>
    <row r="120" spans="1:13" ht="26.25" customHeight="1" x14ac:dyDescent="0.25">
      <c r="A120" s="126"/>
      <c r="B120" s="1"/>
      <c r="E120" s="1"/>
      <c r="F120" s="1"/>
      <c r="H120" s="1"/>
      <c r="K120" s="1"/>
      <c r="M120" s="1"/>
    </row>
    <row r="121" spans="1:13" ht="26.25" customHeight="1" x14ac:dyDescent="0.25">
      <c r="A121" s="126"/>
      <c r="B121" s="1"/>
      <c r="E121" s="1"/>
      <c r="F121" s="1"/>
      <c r="H121" s="1"/>
      <c r="K121" s="1"/>
      <c r="M121" s="1"/>
    </row>
    <row r="122" spans="1:13" ht="26.25" customHeight="1" x14ac:dyDescent="0.25">
      <c r="A122" s="126"/>
      <c r="B122" s="1"/>
      <c r="E122" s="1"/>
      <c r="F122" s="1"/>
      <c r="H122" s="1"/>
      <c r="K122" s="1"/>
      <c r="M122" s="1"/>
    </row>
    <row r="123" spans="1:13" ht="26.25" customHeight="1" x14ac:dyDescent="0.25">
      <c r="A123" s="126"/>
      <c r="B123" s="1"/>
      <c r="E123" s="1"/>
      <c r="F123" s="1"/>
      <c r="H123" s="1"/>
      <c r="K123" s="1"/>
      <c r="M123" s="1"/>
    </row>
    <row r="124" spans="1:13" ht="26.25" customHeight="1" x14ac:dyDescent="0.25">
      <c r="A124" s="126"/>
      <c r="B124" s="1"/>
      <c r="E124" s="1"/>
      <c r="F124" s="1"/>
      <c r="H124" s="1"/>
      <c r="K124" s="1"/>
      <c r="M124" s="1"/>
    </row>
    <row r="125" spans="1:13" ht="26.25" customHeight="1" x14ac:dyDescent="0.25">
      <c r="A125" s="126"/>
      <c r="B125" s="1"/>
      <c r="E125" s="1"/>
      <c r="F125" s="1"/>
      <c r="H125" s="1"/>
      <c r="K125" s="1"/>
      <c r="M125" s="1"/>
    </row>
    <row r="126" spans="1:13" ht="26.25" customHeight="1" x14ac:dyDescent="0.25">
      <c r="A126" s="126"/>
      <c r="B126" s="1"/>
      <c r="E126" s="1"/>
      <c r="F126" s="1"/>
      <c r="H126" s="1"/>
      <c r="K126" s="1"/>
      <c r="M126" s="1"/>
    </row>
    <row r="127" spans="1:13" ht="26.25" customHeight="1" x14ac:dyDescent="0.25">
      <c r="A127" s="126"/>
      <c r="B127" s="1"/>
      <c r="E127" s="1"/>
      <c r="F127" s="1"/>
      <c r="H127" s="1"/>
      <c r="K127" s="1"/>
      <c r="M127" s="1"/>
    </row>
    <row r="128" spans="1:13" ht="26.25" customHeight="1" x14ac:dyDescent="0.25">
      <c r="A128" s="126"/>
      <c r="B128" s="1"/>
      <c r="E128" s="1"/>
      <c r="F128" s="1"/>
      <c r="H128" s="1"/>
      <c r="K128" s="1"/>
      <c r="M128" s="1"/>
    </row>
    <row r="129" spans="1:13" ht="26.25" customHeight="1" x14ac:dyDescent="0.25">
      <c r="A129" s="126"/>
      <c r="B129" s="1"/>
      <c r="E129" s="1"/>
      <c r="F129" s="1"/>
      <c r="H129" s="1"/>
      <c r="K129" s="1"/>
      <c r="M129" s="1"/>
    </row>
    <row r="130" spans="1:13" ht="26.25" customHeight="1" x14ac:dyDescent="0.25">
      <c r="A130" s="126"/>
      <c r="B130" s="1"/>
      <c r="E130" s="1"/>
      <c r="F130" s="1"/>
      <c r="H130" s="1"/>
      <c r="K130" s="1"/>
      <c r="M130" s="1"/>
    </row>
    <row r="131" spans="1:13" ht="26.25" customHeight="1" x14ac:dyDescent="0.25">
      <c r="A131" s="126"/>
      <c r="B131" s="1"/>
      <c r="E131" s="1"/>
      <c r="F131" s="1"/>
      <c r="H131" s="1"/>
      <c r="K131" s="1"/>
      <c r="M131" s="1"/>
    </row>
    <row r="132" spans="1:13" ht="26.25" customHeight="1" x14ac:dyDescent="0.25">
      <c r="A132" s="126"/>
      <c r="B132" s="1"/>
      <c r="E132" s="1"/>
      <c r="F132" s="1"/>
      <c r="H132" s="1"/>
      <c r="K132" s="1"/>
      <c r="M132" s="1"/>
    </row>
    <row r="133" spans="1:13" ht="26.25" customHeight="1" x14ac:dyDescent="0.25">
      <c r="A133" s="126"/>
      <c r="B133" s="1"/>
      <c r="E133" s="1"/>
      <c r="F133" s="1"/>
      <c r="H133" s="1"/>
      <c r="K133" s="1"/>
      <c r="M133" s="1"/>
    </row>
    <row r="134" spans="1:13" ht="26.25" customHeight="1" x14ac:dyDescent="0.25">
      <c r="A134" s="126"/>
      <c r="B134" s="1"/>
      <c r="E134" s="1"/>
      <c r="F134" s="1"/>
      <c r="H134" s="1"/>
      <c r="K134" s="1"/>
      <c r="M134" s="1"/>
    </row>
    <row r="135" spans="1:13" ht="26.25" customHeight="1" x14ac:dyDescent="0.25">
      <c r="A135" s="126"/>
      <c r="B135" s="1"/>
      <c r="E135" s="1"/>
      <c r="F135" s="1"/>
      <c r="H135" s="1"/>
      <c r="K135" s="1"/>
      <c r="M135" s="1"/>
    </row>
    <row r="136" spans="1:13" ht="26.25" customHeight="1" x14ac:dyDescent="0.25">
      <c r="A136" s="126"/>
      <c r="B136" s="1"/>
      <c r="E136" s="1"/>
      <c r="F136" s="1"/>
      <c r="H136" s="1"/>
      <c r="K136" s="1"/>
      <c r="M136" s="1"/>
    </row>
    <row r="137" spans="1:13" ht="26.25" customHeight="1" x14ac:dyDescent="0.25">
      <c r="A137" s="126"/>
      <c r="B137" s="1"/>
      <c r="E137" s="1"/>
      <c r="F137" s="1"/>
      <c r="H137" s="1"/>
      <c r="K137" s="1"/>
      <c r="M137" s="1"/>
    </row>
    <row r="138" spans="1:13" ht="26.25" customHeight="1" x14ac:dyDescent="0.25">
      <c r="A138" s="126"/>
      <c r="B138" s="1"/>
      <c r="E138" s="1"/>
      <c r="F138" s="1"/>
      <c r="H138" s="1"/>
      <c r="K138" s="1"/>
      <c r="M138" s="1"/>
    </row>
    <row r="139" spans="1:13" ht="26.25" customHeight="1" x14ac:dyDescent="0.25">
      <c r="A139" s="126"/>
      <c r="B139" s="1"/>
      <c r="E139" s="1"/>
      <c r="F139" s="1"/>
      <c r="H139" s="1"/>
      <c r="K139" s="1"/>
      <c r="M139" s="1"/>
    </row>
    <row r="140" spans="1:13" ht="26.25" customHeight="1" x14ac:dyDescent="0.25">
      <c r="A140" s="126"/>
      <c r="B140" s="1"/>
      <c r="E140" s="1"/>
      <c r="F140" s="1"/>
      <c r="H140" s="1"/>
      <c r="K140" s="1"/>
      <c r="M140" s="1"/>
    </row>
    <row r="141" spans="1:13" ht="26.25" customHeight="1" x14ac:dyDescent="0.25">
      <c r="A141" s="126"/>
      <c r="B141" s="1"/>
      <c r="E141" s="1"/>
      <c r="F141" s="1"/>
      <c r="H141" s="1"/>
      <c r="K141" s="1"/>
      <c r="M141" s="1"/>
    </row>
    <row r="142" spans="1:13" ht="26.25" customHeight="1" x14ac:dyDescent="0.25">
      <c r="A142" s="126"/>
      <c r="B142" s="1"/>
      <c r="E142" s="1"/>
      <c r="F142" s="1"/>
      <c r="H142" s="1"/>
      <c r="K142" s="1"/>
      <c r="M142" s="1"/>
    </row>
    <row r="143" spans="1:13" ht="26.25" customHeight="1" x14ac:dyDescent="0.25">
      <c r="A143" s="126"/>
      <c r="B143" s="1"/>
      <c r="E143" s="1"/>
      <c r="F143" s="1"/>
      <c r="H143" s="1"/>
      <c r="K143" s="1"/>
      <c r="M143" s="1"/>
    </row>
    <row r="144" spans="1:13" ht="26.25" customHeight="1" x14ac:dyDescent="0.25">
      <c r="A144" s="126"/>
      <c r="B144" s="1"/>
      <c r="E144" s="1"/>
      <c r="F144" s="1"/>
      <c r="H144" s="1"/>
      <c r="K144" s="1"/>
      <c r="M144" s="1"/>
    </row>
    <row r="145" spans="1:13" ht="26.25" customHeight="1" x14ac:dyDescent="0.25">
      <c r="A145" s="126"/>
      <c r="B145" s="1"/>
      <c r="E145" s="1"/>
      <c r="F145" s="1"/>
      <c r="H145" s="1"/>
      <c r="K145" s="1"/>
      <c r="M145" s="1"/>
    </row>
    <row r="146" spans="1:13" ht="26.25" customHeight="1" x14ac:dyDescent="0.25">
      <c r="A146" s="126"/>
      <c r="B146" s="1"/>
      <c r="E146" s="1"/>
      <c r="F146" s="1"/>
      <c r="H146" s="1"/>
      <c r="K146" s="1"/>
      <c r="M146" s="1"/>
    </row>
    <row r="147" spans="1:13" ht="26.25" customHeight="1" x14ac:dyDescent="0.25">
      <c r="A147" s="126"/>
      <c r="B147" s="1"/>
      <c r="E147" s="1"/>
      <c r="F147" s="1"/>
      <c r="H147" s="1"/>
      <c r="K147" s="1"/>
      <c r="M147" s="1"/>
    </row>
    <row r="148" spans="1:13" ht="26.25" customHeight="1" x14ac:dyDescent="0.25">
      <c r="A148" s="126"/>
      <c r="B148" s="1"/>
      <c r="E148" s="1"/>
      <c r="F148" s="1"/>
      <c r="H148" s="1"/>
      <c r="K148" s="1"/>
      <c r="M148" s="1"/>
    </row>
    <row r="149" spans="1:13" ht="26.25" customHeight="1" x14ac:dyDescent="0.25">
      <c r="A149" s="126"/>
      <c r="B149" s="1"/>
      <c r="E149" s="1"/>
      <c r="F149" s="1"/>
      <c r="H149" s="1"/>
      <c r="K149" s="1"/>
      <c r="M149" s="1"/>
    </row>
    <row r="150" spans="1:13" ht="26.25" customHeight="1" x14ac:dyDescent="0.25">
      <c r="A150" s="126"/>
      <c r="B150" s="1"/>
      <c r="E150" s="1"/>
      <c r="F150" s="1"/>
      <c r="H150" s="1"/>
      <c r="K150" s="1"/>
      <c r="M150" s="1"/>
    </row>
    <row r="151" spans="1:13" ht="26.25" customHeight="1" x14ac:dyDescent="0.25">
      <c r="A151" s="126"/>
      <c r="B151" s="1"/>
      <c r="E151" s="1"/>
      <c r="F151" s="1"/>
      <c r="H151" s="1"/>
      <c r="K151" s="1"/>
      <c r="M151" s="1"/>
    </row>
    <row r="152" spans="1:13" ht="26.25" customHeight="1" x14ac:dyDescent="0.25">
      <c r="A152" s="126"/>
      <c r="B152" s="1"/>
      <c r="E152" s="1"/>
      <c r="F152" s="1"/>
      <c r="H152" s="1"/>
      <c r="K152" s="1"/>
      <c r="M152" s="1"/>
    </row>
    <row r="153" spans="1:13" ht="26.25" customHeight="1" x14ac:dyDescent="0.25">
      <c r="A153" s="126"/>
      <c r="B153" s="1"/>
      <c r="E153" s="1"/>
      <c r="F153" s="1"/>
      <c r="H153" s="1"/>
      <c r="K153" s="1"/>
      <c r="M153" s="1"/>
    </row>
    <row r="154" spans="1:13" ht="26.25" customHeight="1" x14ac:dyDescent="0.25">
      <c r="A154" s="126"/>
      <c r="B154" s="1"/>
      <c r="E154" s="1"/>
      <c r="F154" s="1"/>
      <c r="H154" s="1"/>
      <c r="K154" s="1"/>
      <c r="M154" s="1"/>
    </row>
    <row r="155" spans="1:13" ht="26.25" customHeight="1" x14ac:dyDescent="0.25">
      <c r="A155" s="126"/>
      <c r="B155" s="1"/>
      <c r="E155" s="1"/>
      <c r="F155" s="1"/>
      <c r="H155" s="1"/>
      <c r="K155" s="1"/>
      <c r="M155" s="1"/>
    </row>
    <row r="156" spans="1:13" ht="26.25" customHeight="1" x14ac:dyDescent="0.25">
      <c r="A156" s="126"/>
      <c r="B156" s="1"/>
      <c r="E156" s="1"/>
      <c r="F156" s="1"/>
      <c r="H156" s="1"/>
      <c r="K156" s="1"/>
      <c r="M156" s="1"/>
    </row>
    <row r="157" spans="1:13" ht="26.25" customHeight="1" x14ac:dyDescent="0.25">
      <c r="A157" s="126"/>
      <c r="B157" s="1"/>
      <c r="E157" s="1"/>
      <c r="F157" s="1"/>
      <c r="H157" s="1"/>
      <c r="K157" s="1"/>
      <c r="M157" s="1"/>
    </row>
    <row r="158" spans="1:13" ht="26.25" customHeight="1" x14ac:dyDescent="0.25">
      <c r="A158" s="126"/>
      <c r="B158" s="1"/>
      <c r="E158" s="1"/>
      <c r="F158" s="1"/>
      <c r="H158" s="1"/>
      <c r="K158" s="1"/>
      <c r="M158" s="1"/>
    </row>
    <row r="159" spans="1:13" ht="26.25" customHeight="1" x14ac:dyDescent="0.25">
      <c r="A159" s="126"/>
      <c r="B159" s="1"/>
      <c r="E159" s="1"/>
      <c r="F159" s="1"/>
      <c r="H159" s="1"/>
      <c r="K159" s="1"/>
      <c r="M159" s="1"/>
    </row>
    <row r="160" spans="1:13" ht="26.25" customHeight="1" x14ac:dyDescent="0.25">
      <c r="A160" s="126"/>
      <c r="B160" s="1"/>
      <c r="E160" s="1"/>
      <c r="F160" s="1"/>
      <c r="H160" s="1"/>
      <c r="K160" s="1"/>
      <c r="M160" s="1"/>
    </row>
    <row r="161" spans="1:13" ht="26.25" customHeight="1" x14ac:dyDescent="0.25">
      <c r="A161" s="126"/>
      <c r="B161" s="1"/>
      <c r="E161" s="1"/>
      <c r="F161" s="1"/>
      <c r="H161" s="1"/>
      <c r="K161" s="1"/>
      <c r="M161" s="1"/>
    </row>
    <row r="162" spans="1:13" ht="26.25" customHeight="1" x14ac:dyDescent="0.25">
      <c r="A162" s="126"/>
      <c r="B162" s="1"/>
      <c r="E162" s="1"/>
      <c r="F162" s="1"/>
      <c r="H162" s="1"/>
      <c r="K162" s="1"/>
      <c r="M162" s="1"/>
    </row>
    <row r="163" spans="1:13" ht="26.25" customHeight="1" x14ac:dyDescent="0.25">
      <c r="A163" s="126"/>
      <c r="B163" s="1"/>
      <c r="E163" s="1"/>
      <c r="F163" s="1"/>
      <c r="H163" s="1"/>
      <c r="K163" s="1"/>
      <c r="M163" s="1"/>
    </row>
    <row r="164" spans="1:13" ht="26.25" customHeight="1" x14ac:dyDescent="0.25">
      <c r="A164" s="126"/>
      <c r="B164" s="1"/>
      <c r="E164" s="1"/>
      <c r="F164" s="1"/>
      <c r="H164" s="1"/>
      <c r="K164" s="1"/>
      <c r="M164" s="1"/>
    </row>
    <row r="165" spans="1:13" ht="26.25" customHeight="1" x14ac:dyDescent="0.25">
      <c r="A165" s="126"/>
      <c r="B165" s="1"/>
      <c r="E165" s="1"/>
      <c r="F165" s="1"/>
      <c r="H165" s="1"/>
      <c r="K165" s="1"/>
      <c r="M165" s="1"/>
    </row>
    <row r="166" spans="1:13" ht="26.25" customHeight="1" x14ac:dyDescent="0.25">
      <c r="A166" s="126"/>
      <c r="B166" s="1"/>
      <c r="E166" s="1"/>
      <c r="F166" s="1"/>
      <c r="H166" s="1"/>
      <c r="K166" s="1"/>
      <c r="M166" s="1"/>
    </row>
    <row r="167" spans="1:13" ht="26.25" customHeight="1" x14ac:dyDescent="0.25">
      <c r="A167" s="126"/>
      <c r="B167" s="1"/>
      <c r="E167" s="1"/>
      <c r="F167" s="1"/>
      <c r="H167" s="1"/>
      <c r="K167" s="1"/>
      <c r="M167" s="1"/>
    </row>
    <row r="168" spans="1:13" ht="26.25" customHeight="1" x14ac:dyDescent="0.25">
      <c r="A168" s="126"/>
      <c r="B168" s="1"/>
      <c r="E168" s="1"/>
      <c r="F168" s="1"/>
      <c r="H168" s="1"/>
      <c r="K168" s="1"/>
      <c r="M168" s="1"/>
    </row>
    <row r="169" spans="1:13" ht="26.25" customHeight="1" x14ac:dyDescent="0.25">
      <c r="A169" s="126"/>
      <c r="B169" s="1"/>
      <c r="E169" s="1"/>
      <c r="F169" s="1"/>
      <c r="H169" s="1"/>
      <c r="K169" s="1"/>
      <c r="M169" s="1"/>
    </row>
    <row r="170" spans="1:13" ht="26.25" customHeight="1" x14ac:dyDescent="0.25">
      <c r="A170" s="126"/>
      <c r="B170" s="1"/>
      <c r="E170" s="1"/>
      <c r="F170" s="1"/>
      <c r="H170" s="1"/>
      <c r="K170" s="1"/>
      <c r="M170" s="1"/>
    </row>
    <row r="171" spans="1:13" ht="26.25" customHeight="1" x14ac:dyDescent="0.25">
      <c r="A171" s="126"/>
      <c r="B171" s="1"/>
      <c r="E171" s="1"/>
      <c r="F171" s="1"/>
      <c r="H171" s="1"/>
      <c r="K171" s="1"/>
      <c r="M171" s="1"/>
    </row>
    <row r="172" spans="1:13" ht="26.25" customHeight="1" x14ac:dyDescent="0.25">
      <c r="A172" s="126"/>
      <c r="B172" s="1"/>
      <c r="E172" s="1"/>
      <c r="F172" s="1"/>
      <c r="H172" s="1"/>
      <c r="K172" s="1"/>
      <c r="M172" s="1"/>
    </row>
    <row r="173" spans="1:13" ht="26.25" customHeight="1" x14ac:dyDescent="0.25">
      <c r="A173" s="126"/>
      <c r="B173" s="1"/>
      <c r="E173" s="1"/>
      <c r="F173" s="1"/>
      <c r="H173" s="1"/>
      <c r="K173" s="1"/>
      <c r="M173" s="1"/>
    </row>
    <row r="174" spans="1:13" ht="26.25" customHeight="1" x14ac:dyDescent="0.25">
      <c r="A174" s="126"/>
      <c r="B174" s="1"/>
      <c r="E174" s="1"/>
      <c r="F174" s="1"/>
      <c r="H174" s="1"/>
      <c r="K174" s="1"/>
      <c r="M174" s="1"/>
    </row>
    <row r="175" spans="1:13" ht="26.25" customHeight="1" x14ac:dyDescent="0.25">
      <c r="A175" s="126"/>
      <c r="B175" s="1"/>
      <c r="E175" s="1"/>
      <c r="F175" s="1"/>
      <c r="H175" s="1"/>
      <c r="K175" s="1"/>
      <c r="M175" s="1"/>
    </row>
    <row r="176" spans="1:13" ht="26.25" customHeight="1" x14ac:dyDescent="0.25">
      <c r="A176" s="126"/>
      <c r="B176" s="1"/>
      <c r="E176" s="1"/>
      <c r="F176" s="1"/>
      <c r="H176" s="1"/>
      <c r="K176" s="1"/>
      <c r="M176" s="1"/>
    </row>
    <row r="177" spans="1:13" ht="26.25" customHeight="1" x14ac:dyDescent="0.25">
      <c r="A177" s="126"/>
      <c r="B177" s="1"/>
      <c r="E177" s="1"/>
      <c r="F177" s="1"/>
      <c r="H177" s="1"/>
      <c r="K177" s="1"/>
      <c r="M177" s="1"/>
    </row>
    <row r="178" spans="1:13" ht="26.25" customHeight="1" x14ac:dyDescent="0.25">
      <c r="A178" s="126"/>
      <c r="B178" s="1"/>
      <c r="E178" s="1"/>
      <c r="F178" s="1"/>
      <c r="H178" s="1"/>
      <c r="K178" s="1"/>
      <c r="M178" s="1"/>
    </row>
    <row r="179" spans="1:13" ht="26.25" customHeight="1" x14ac:dyDescent="0.25">
      <c r="A179" s="126"/>
      <c r="B179" s="1"/>
      <c r="E179" s="1"/>
      <c r="F179" s="1"/>
      <c r="H179" s="1"/>
      <c r="K179" s="1"/>
      <c r="M179" s="1"/>
    </row>
    <row r="180" spans="1:13" ht="26.25" customHeight="1" x14ac:dyDescent="0.25">
      <c r="A180" s="126"/>
      <c r="B180" s="1"/>
      <c r="E180" s="1"/>
      <c r="F180" s="1"/>
      <c r="H180" s="1"/>
      <c r="K180" s="1"/>
      <c r="M180" s="1"/>
    </row>
    <row r="181" spans="1:13" ht="26.25" customHeight="1" x14ac:dyDescent="0.25">
      <c r="A181" s="126"/>
      <c r="B181" s="1"/>
      <c r="E181" s="1"/>
      <c r="F181" s="1"/>
      <c r="H181" s="1"/>
      <c r="K181" s="1"/>
      <c r="M181" s="1"/>
    </row>
    <row r="182" spans="1:13" ht="26.25" customHeight="1" x14ac:dyDescent="0.25">
      <c r="A182" s="126"/>
      <c r="B182" s="1"/>
      <c r="E182" s="1"/>
      <c r="F182" s="1"/>
      <c r="H182" s="1"/>
      <c r="K182" s="1"/>
      <c r="M182" s="1"/>
    </row>
    <row r="183" spans="1:13" ht="26.25" customHeight="1" x14ac:dyDescent="0.25">
      <c r="A183" s="126"/>
      <c r="B183" s="1"/>
      <c r="E183" s="1"/>
      <c r="F183" s="1"/>
      <c r="H183" s="1"/>
      <c r="K183" s="1"/>
      <c r="M183" s="1"/>
    </row>
    <row r="184" spans="1:13" ht="26.25" customHeight="1" x14ac:dyDescent="0.25">
      <c r="A184" s="126"/>
      <c r="B184" s="1"/>
      <c r="E184" s="1"/>
      <c r="F184" s="1"/>
      <c r="H184" s="1"/>
      <c r="K184" s="1"/>
      <c r="M184" s="1"/>
    </row>
    <row r="185" spans="1:13" ht="26.25" customHeight="1" x14ac:dyDescent="0.25">
      <c r="A185" s="126"/>
      <c r="B185" s="1"/>
      <c r="E185" s="1"/>
      <c r="F185" s="1"/>
      <c r="H185" s="1"/>
      <c r="K185" s="1"/>
      <c r="M185" s="1"/>
    </row>
    <row r="186" spans="1:13" ht="26.25" customHeight="1" x14ac:dyDescent="0.25">
      <c r="A186" s="126"/>
      <c r="B186" s="1"/>
      <c r="E186" s="1"/>
      <c r="F186" s="1"/>
      <c r="H186" s="1"/>
      <c r="K186" s="1"/>
      <c r="M186" s="1"/>
    </row>
    <row r="187" spans="1:13" ht="26.25" customHeight="1" x14ac:dyDescent="0.25">
      <c r="A187" s="126"/>
      <c r="B187" s="1"/>
      <c r="E187" s="1"/>
      <c r="F187" s="1"/>
      <c r="H187" s="1"/>
      <c r="K187" s="1"/>
      <c r="M187" s="1"/>
    </row>
    <row r="188" spans="1:13" ht="26.25" customHeight="1" x14ac:dyDescent="0.25">
      <c r="A188" s="126"/>
      <c r="B188" s="1"/>
      <c r="E188" s="1"/>
      <c r="F188" s="1"/>
      <c r="H188" s="1"/>
      <c r="K188" s="1"/>
      <c r="M188" s="1"/>
    </row>
    <row r="189" spans="1:13" ht="26.25" customHeight="1" x14ac:dyDescent="0.25">
      <c r="A189" s="126"/>
      <c r="B189" s="1"/>
      <c r="E189" s="1"/>
      <c r="F189" s="1"/>
      <c r="H189" s="1"/>
      <c r="K189" s="1"/>
      <c r="M189" s="1"/>
    </row>
    <row r="190" spans="1:13" ht="26.25" customHeight="1" x14ac:dyDescent="0.25">
      <c r="A190" s="126"/>
      <c r="B190" s="1"/>
      <c r="E190" s="1"/>
      <c r="F190" s="1"/>
      <c r="H190" s="1"/>
      <c r="K190" s="1"/>
      <c r="M190" s="1"/>
    </row>
    <row r="191" spans="1:13" ht="26.25" customHeight="1" x14ac:dyDescent="0.25">
      <c r="A191" s="126"/>
      <c r="B191" s="1"/>
      <c r="E191" s="1"/>
      <c r="F191" s="1"/>
      <c r="H191" s="1"/>
      <c r="K191" s="1"/>
      <c r="M191" s="1"/>
    </row>
    <row r="192" spans="1:13" ht="26.25" customHeight="1" x14ac:dyDescent="0.25">
      <c r="A192" s="126"/>
      <c r="B192" s="1"/>
      <c r="E192" s="1"/>
      <c r="F192" s="1"/>
      <c r="H192" s="1"/>
      <c r="K192" s="1"/>
      <c r="M192" s="1"/>
    </row>
    <row r="193" spans="1:13" ht="26.25" customHeight="1" x14ac:dyDescent="0.25">
      <c r="A193" s="126"/>
      <c r="B193" s="1"/>
      <c r="E193" s="1"/>
      <c r="F193" s="1"/>
      <c r="H193" s="1"/>
      <c r="K193" s="1"/>
      <c r="M193" s="1"/>
    </row>
    <row r="194" spans="1:13" ht="26.25" customHeight="1" x14ac:dyDescent="0.25">
      <c r="A194" s="126"/>
      <c r="B194" s="1"/>
      <c r="E194" s="1"/>
      <c r="F194" s="1"/>
      <c r="H194" s="1"/>
      <c r="K194" s="1"/>
      <c r="M194" s="1"/>
    </row>
    <row r="195" spans="1:13" ht="26.25" customHeight="1" x14ac:dyDescent="0.25">
      <c r="A195" s="126"/>
      <c r="B195" s="1"/>
      <c r="E195" s="1"/>
      <c r="F195" s="1"/>
      <c r="H195" s="1"/>
      <c r="K195" s="1"/>
      <c r="M195" s="1"/>
    </row>
    <row r="196" spans="1:13" ht="26.25" customHeight="1" x14ac:dyDescent="0.25">
      <c r="A196" s="126"/>
      <c r="B196" s="1"/>
      <c r="E196" s="1"/>
      <c r="F196" s="1"/>
      <c r="H196" s="1"/>
      <c r="K196" s="1"/>
      <c r="M196" s="1"/>
    </row>
    <row r="197" spans="1:13" ht="26.25" customHeight="1" x14ac:dyDescent="0.25">
      <c r="A197" s="126"/>
      <c r="B197" s="1"/>
      <c r="E197" s="1"/>
      <c r="F197" s="1"/>
      <c r="H197" s="1"/>
      <c r="K197" s="1"/>
      <c r="M197" s="1"/>
    </row>
    <row r="198" spans="1:13" ht="26.25" customHeight="1" x14ac:dyDescent="0.25">
      <c r="A198" s="126"/>
      <c r="B198" s="1"/>
      <c r="E198" s="1"/>
      <c r="F198" s="1"/>
      <c r="H198" s="1"/>
      <c r="K198" s="1"/>
      <c r="M198" s="1"/>
    </row>
    <row r="199" spans="1:13" ht="26.25" customHeight="1" x14ac:dyDescent="0.25">
      <c r="A199" s="126"/>
      <c r="B199" s="1"/>
      <c r="E199" s="1"/>
      <c r="F199" s="1"/>
      <c r="H199" s="1"/>
      <c r="K199" s="1"/>
      <c r="M199" s="1"/>
    </row>
    <row r="200" spans="1:13" ht="26.25" customHeight="1" x14ac:dyDescent="0.25">
      <c r="A200" s="126"/>
      <c r="B200" s="1"/>
      <c r="E200" s="1"/>
      <c r="F200" s="1"/>
      <c r="H200" s="1"/>
      <c r="K200" s="1"/>
      <c r="M200" s="1"/>
    </row>
    <row r="201" spans="1:13" ht="26.25" customHeight="1" x14ac:dyDescent="0.25">
      <c r="A201" s="126"/>
      <c r="B201" s="1"/>
      <c r="E201" s="1"/>
      <c r="F201" s="1"/>
      <c r="H201" s="1"/>
      <c r="K201" s="1"/>
      <c r="M201" s="1"/>
    </row>
    <row r="202" spans="1:13" ht="26.25" customHeight="1" x14ac:dyDescent="0.25">
      <c r="A202" s="126"/>
      <c r="B202" s="1"/>
      <c r="E202" s="1"/>
      <c r="F202" s="1"/>
      <c r="H202" s="1"/>
      <c r="K202" s="1"/>
      <c r="M202" s="1"/>
    </row>
    <row r="203" spans="1:13" ht="26.25" customHeight="1" x14ac:dyDescent="0.25">
      <c r="A203" s="126"/>
      <c r="B203" s="1"/>
      <c r="E203" s="1"/>
      <c r="F203" s="1"/>
      <c r="H203" s="1"/>
      <c r="K203" s="1"/>
      <c r="M203" s="1"/>
    </row>
    <row r="204" spans="1:13" ht="26.25" customHeight="1" x14ac:dyDescent="0.25">
      <c r="A204" s="126"/>
      <c r="B204" s="1"/>
      <c r="E204" s="1"/>
      <c r="F204" s="1"/>
      <c r="H204" s="1"/>
      <c r="K204" s="1"/>
      <c r="M204" s="1"/>
    </row>
    <row r="205" spans="1:13" ht="26.25" customHeight="1" x14ac:dyDescent="0.25">
      <c r="A205" s="126"/>
      <c r="B205" s="1"/>
      <c r="E205" s="1"/>
      <c r="F205" s="1"/>
      <c r="H205" s="1"/>
      <c r="K205" s="1"/>
      <c r="M205" s="1"/>
    </row>
    <row r="206" spans="1:13" ht="26.25" customHeight="1" x14ac:dyDescent="0.25">
      <c r="A206" s="126"/>
      <c r="B206" s="1"/>
      <c r="E206" s="1"/>
      <c r="F206" s="1"/>
      <c r="H206" s="1"/>
      <c r="K206" s="1"/>
      <c r="M206" s="1"/>
    </row>
    <row r="207" spans="1:13" ht="26.25" customHeight="1" x14ac:dyDescent="0.25">
      <c r="A207" s="126"/>
      <c r="B207" s="1"/>
      <c r="E207" s="1"/>
      <c r="F207" s="1"/>
      <c r="H207" s="1"/>
      <c r="K207" s="1"/>
      <c r="M207" s="1"/>
    </row>
    <row r="208" spans="1:13" ht="26.25" customHeight="1" x14ac:dyDescent="0.25">
      <c r="A208" s="126"/>
      <c r="B208" s="1"/>
      <c r="E208" s="1"/>
      <c r="F208" s="1"/>
      <c r="H208" s="1"/>
      <c r="K208" s="1"/>
      <c r="M208" s="1"/>
    </row>
    <row r="209" spans="1:13" ht="26.25" customHeight="1" x14ac:dyDescent="0.25">
      <c r="A209" s="126"/>
      <c r="B209" s="1"/>
      <c r="E209" s="1"/>
      <c r="F209" s="1"/>
      <c r="H209" s="1"/>
      <c r="K209" s="1"/>
      <c r="M209" s="1"/>
    </row>
    <row r="210" spans="1:13" ht="26.25" customHeight="1" x14ac:dyDescent="0.25">
      <c r="A210" s="126"/>
      <c r="B210" s="1"/>
      <c r="E210" s="1"/>
      <c r="F210" s="1"/>
      <c r="H210" s="1"/>
      <c r="K210" s="1"/>
      <c r="M210" s="1"/>
    </row>
    <row r="211" spans="1:13" ht="26.25" customHeight="1" x14ac:dyDescent="0.25">
      <c r="A211" s="126"/>
      <c r="B211" s="1"/>
      <c r="E211" s="1"/>
      <c r="F211" s="1"/>
      <c r="H211" s="1"/>
      <c r="K211" s="1"/>
      <c r="M211" s="1"/>
    </row>
    <row r="212" spans="1:13" ht="26.25" customHeight="1" x14ac:dyDescent="0.25">
      <c r="A212" s="126"/>
      <c r="B212" s="1"/>
      <c r="E212" s="1"/>
      <c r="F212" s="1"/>
      <c r="H212" s="1"/>
      <c r="K212" s="1"/>
      <c r="M212" s="1"/>
    </row>
    <row r="213" spans="1:13" ht="26.25" customHeight="1" x14ac:dyDescent="0.25">
      <c r="A213" s="126"/>
      <c r="B213" s="1"/>
      <c r="E213" s="1"/>
      <c r="F213" s="1"/>
      <c r="H213" s="1"/>
      <c r="K213" s="1"/>
      <c r="M213" s="1"/>
    </row>
    <row r="214" spans="1:13" ht="26.25" customHeight="1" x14ac:dyDescent="0.25">
      <c r="A214" s="126"/>
      <c r="B214" s="1"/>
      <c r="E214" s="1"/>
      <c r="F214" s="1"/>
      <c r="H214" s="1"/>
      <c r="K214" s="1"/>
      <c r="M214" s="1"/>
    </row>
    <row r="215" spans="1:13" ht="26.25" customHeight="1" x14ac:dyDescent="0.25">
      <c r="A215" s="126"/>
      <c r="B215" s="1"/>
      <c r="E215" s="1"/>
      <c r="F215" s="1"/>
      <c r="H215" s="1"/>
      <c r="K215" s="1"/>
      <c r="M215" s="1"/>
    </row>
    <row r="216" spans="1:13" ht="26.25" customHeight="1" x14ac:dyDescent="0.25">
      <c r="A216" s="126"/>
      <c r="B216" s="1"/>
      <c r="E216" s="1"/>
      <c r="F216" s="1"/>
      <c r="H216" s="1"/>
      <c r="K216" s="1"/>
      <c r="M216" s="1"/>
    </row>
    <row r="217" spans="1:13" ht="26.25" customHeight="1" x14ac:dyDescent="0.25">
      <c r="A217" s="126"/>
      <c r="B217" s="1"/>
      <c r="E217" s="1"/>
      <c r="F217" s="1"/>
      <c r="H217" s="1"/>
      <c r="K217" s="1"/>
      <c r="M217" s="1"/>
    </row>
    <row r="218" spans="1:13" ht="26.25" customHeight="1" x14ac:dyDescent="0.25">
      <c r="A218" s="126"/>
      <c r="B218" s="1"/>
      <c r="E218" s="1"/>
      <c r="F218" s="1"/>
      <c r="H218" s="1"/>
      <c r="K218" s="1"/>
      <c r="M218" s="1"/>
    </row>
    <row r="219" spans="1:13" ht="26.25" customHeight="1" x14ac:dyDescent="0.25">
      <c r="A219" s="126"/>
      <c r="B219" s="1"/>
      <c r="E219" s="1"/>
      <c r="F219" s="1"/>
      <c r="H219" s="1"/>
      <c r="K219" s="1"/>
      <c r="M219" s="1"/>
    </row>
    <row r="220" spans="1:13" ht="26.25" customHeight="1" x14ac:dyDescent="0.25">
      <c r="A220" s="126"/>
      <c r="B220" s="1"/>
      <c r="E220" s="1"/>
      <c r="F220" s="1"/>
      <c r="H220" s="1"/>
      <c r="K220" s="1"/>
      <c r="M220" s="1"/>
    </row>
    <row r="221" spans="1:13" ht="26.25" customHeight="1" x14ac:dyDescent="0.25">
      <c r="A221" s="126"/>
      <c r="B221" s="1"/>
      <c r="E221" s="1"/>
      <c r="F221" s="1"/>
      <c r="H221" s="1"/>
      <c r="K221" s="1"/>
      <c r="M221" s="1"/>
    </row>
    <row r="222" spans="1:13" ht="26.25" customHeight="1" x14ac:dyDescent="0.25">
      <c r="A222" s="126"/>
      <c r="B222" s="1"/>
      <c r="E222" s="1"/>
      <c r="F222" s="1"/>
      <c r="H222" s="1"/>
      <c r="K222" s="1"/>
      <c r="M222" s="1"/>
    </row>
    <row r="223" spans="1:13" ht="26.25" customHeight="1" x14ac:dyDescent="0.25">
      <c r="A223" s="126"/>
      <c r="B223" s="1"/>
      <c r="E223" s="1"/>
      <c r="F223" s="1"/>
      <c r="H223" s="1"/>
      <c r="K223" s="1"/>
      <c r="M223" s="1"/>
    </row>
    <row r="224" spans="1:13" ht="26.25" customHeight="1" x14ac:dyDescent="0.25">
      <c r="A224" s="126"/>
      <c r="B224" s="1"/>
      <c r="E224" s="1"/>
      <c r="F224" s="1"/>
      <c r="H224" s="1"/>
      <c r="K224" s="1"/>
      <c r="M224" s="1"/>
    </row>
    <row r="225" spans="1:13" ht="26.25" customHeight="1" x14ac:dyDescent="0.25">
      <c r="A225" s="126"/>
      <c r="B225" s="1"/>
      <c r="E225" s="1"/>
      <c r="F225" s="1"/>
      <c r="H225" s="1"/>
      <c r="K225" s="1"/>
      <c r="M225" s="1"/>
    </row>
    <row r="226" spans="1:13" ht="26.25" customHeight="1" x14ac:dyDescent="0.25">
      <c r="A226" s="126"/>
      <c r="B226" s="1"/>
      <c r="E226" s="1"/>
      <c r="F226" s="1"/>
      <c r="H226" s="1"/>
      <c r="K226" s="1"/>
      <c r="M226" s="1"/>
    </row>
    <row r="227" spans="1:13" ht="26.25" customHeight="1" x14ac:dyDescent="0.25">
      <c r="A227" s="126"/>
      <c r="B227" s="1"/>
      <c r="E227" s="1"/>
      <c r="F227" s="1"/>
      <c r="H227" s="1"/>
      <c r="K227" s="1"/>
      <c r="M227" s="1"/>
    </row>
    <row r="228" spans="1:13" ht="26.25" customHeight="1" x14ac:dyDescent="0.25">
      <c r="A228" s="126"/>
      <c r="B228" s="1"/>
      <c r="E228" s="1"/>
      <c r="F228" s="1"/>
      <c r="H228" s="1"/>
      <c r="K228" s="1"/>
      <c r="M228" s="1"/>
    </row>
    <row r="229" spans="1:13" ht="26.25" customHeight="1" x14ac:dyDescent="0.25">
      <c r="A229" s="126"/>
      <c r="B229" s="1"/>
      <c r="E229" s="1"/>
      <c r="F229" s="1"/>
      <c r="H229" s="1"/>
      <c r="K229" s="1"/>
      <c r="M229" s="1"/>
    </row>
    <row r="230" spans="1:13" ht="26.25" customHeight="1" x14ac:dyDescent="0.25">
      <c r="A230" s="126"/>
      <c r="B230" s="1"/>
      <c r="E230" s="1"/>
      <c r="F230" s="1"/>
      <c r="H230" s="1"/>
      <c r="K230" s="1"/>
      <c r="M230" s="1"/>
    </row>
    <row r="231" spans="1:13" ht="26.25" customHeight="1" x14ac:dyDescent="0.25">
      <c r="A231" s="126"/>
      <c r="B231" s="1"/>
      <c r="E231" s="1"/>
      <c r="F231" s="1"/>
      <c r="H231" s="1"/>
      <c r="K231" s="1"/>
      <c r="M231" s="1"/>
    </row>
    <row r="232" spans="1:13" ht="26.25" customHeight="1" x14ac:dyDescent="0.25">
      <c r="A232" s="126"/>
      <c r="B232" s="1"/>
      <c r="E232" s="1"/>
      <c r="F232" s="1"/>
      <c r="H232" s="1"/>
      <c r="K232" s="1"/>
      <c r="M232" s="1"/>
    </row>
    <row r="233" spans="1:13" ht="26.25" customHeight="1" x14ac:dyDescent="0.25">
      <c r="A233" s="126"/>
      <c r="B233" s="1"/>
      <c r="E233" s="1"/>
      <c r="F233" s="1"/>
      <c r="H233" s="1"/>
      <c r="K233" s="1"/>
      <c r="M233" s="1"/>
    </row>
    <row r="234" spans="1:13" ht="26.25" customHeight="1" x14ac:dyDescent="0.25">
      <c r="A234" s="126"/>
      <c r="B234" s="1"/>
      <c r="E234" s="1"/>
      <c r="F234" s="1"/>
      <c r="H234" s="1"/>
      <c r="K234" s="1"/>
      <c r="M234" s="1"/>
    </row>
    <row r="235" spans="1:13" ht="26.25" customHeight="1" x14ac:dyDescent="0.25">
      <c r="A235" s="126"/>
      <c r="B235" s="1"/>
      <c r="E235" s="1"/>
      <c r="F235" s="1"/>
      <c r="H235" s="1"/>
      <c r="K235" s="1"/>
      <c r="M235" s="1"/>
    </row>
    <row r="236" spans="1:13" ht="26.25" customHeight="1" x14ac:dyDescent="0.25">
      <c r="A236" s="126"/>
      <c r="B236" s="1"/>
      <c r="E236" s="1"/>
      <c r="F236" s="1"/>
      <c r="H236" s="1"/>
      <c r="K236" s="1"/>
      <c r="M236" s="1"/>
    </row>
    <row r="237" spans="1:13" ht="26.25" customHeight="1" x14ac:dyDescent="0.25">
      <c r="A237" s="126"/>
      <c r="B237" s="1"/>
      <c r="E237" s="1"/>
      <c r="F237" s="1"/>
      <c r="H237" s="1"/>
      <c r="K237" s="1"/>
      <c r="M237" s="1"/>
    </row>
    <row r="238" spans="1:13" ht="26.25" customHeight="1" x14ac:dyDescent="0.25">
      <c r="A238" s="126"/>
      <c r="B238" s="1"/>
      <c r="E238" s="1"/>
      <c r="F238" s="1"/>
      <c r="H238" s="1"/>
      <c r="K238" s="1"/>
      <c r="M238" s="1"/>
    </row>
    <row r="239" spans="1:13" ht="26.25" customHeight="1" x14ac:dyDescent="0.25">
      <c r="A239" s="126"/>
      <c r="B239" s="1"/>
      <c r="E239" s="1"/>
      <c r="F239" s="1"/>
      <c r="H239" s="1"/>
      <c r="K239" s="1"/>
      <c r="M239" s="1"/>
    </row>
    <row r="240" spans="1:13" ht="26.25" customHeight="1" x14ac:dyDescent="0.25">
      <c r="A240" s="126"/>
      <c r="B240" s="1"/>
      <c r="E240" s="1"/>
      <c r="F240" s="1"/>
      <c r="H240" s="1"/>
      <c r="K240" s="1"/>
      <c r="M240" s="1"/>
    </row>
    <row r="241" spans="1:13" ht="26.25" customHeight="1" x14ac:dyDescent="0.25">
      <c r="A241" s="126"/>
      <c r="B241" s="1"/>
      <c r="E241" s="1"/>
      <c r="F241" s="1"/>
      <c r="H241" s="1"/>
      <c r="K241" s="1"/>
      <c r="M241" s="1"/>
    </row>
    <row r="242" spans="1:13" ht="26.25" customHeight="1" x14ac:dyDescent="0.25">
      <c r="A242" s="126"/>
      <c r="B242" s="1"/>
      <c r="E242" s="1"/>
      <c r="F242" s="1"/>
      <c r="H242" s="1"/>
      <c r="K242" s="1"/>
      <c r="M242" s="1"/>
    </row>
    <row r="243" spans="1:13" ht="26.25" customHeight="1" x14ac:dyDescent="0.25">
      <c r="A243" s="126"/>
      <c r="B243" s="1"/>
      <c r="E243" s="1"/>
      <c r="F243" s="1"/>
      <c r="H243" s="1"/>
      <c r="K243" s="1"/>
      <c r="M243" s="1"/>
    </row>
    <row r="244" spans="1:13" ht="26.25" customHeight="1" x14ac:dyDescent="0.25">
      <c r="A244" s="126"/>
      <c r="B244" s="1"/>
      <c r="E244" s="1"/>
      <c r="F244" s="1"/>
      <c r="H244" s="1"/>
      <c r="K244" s="1"/>
      <c r="M244" s="1"/>
    </row>
    <row r="245" spans="1:13" ht="26.25" customHeight="1" x14ac:dyDescent="0.25">
      <c r="A245" s="126"/>
      <c r="B245" s="1"/>
      <c r="E245" s="1"/>
      <c r="F245" s="1"/>
      <c r="H245" s="1"/>
      <c r="K245" s="1"/>
      <c r="M245" s="1"/>
    </row>
    <row r="246" spans="1:13" ht="26.25" customHeight="1" x14ac:dyDescent="0.25">
      <c r="A246" s="126"/>
      <c r="B246" s="1"/>
      <c r="E246" s="1"/>
      <c r="F246" s="1"/>
      <c r="H246" s="1"/>
      <c r="K246" s="1"/>
      <c r="M246" s="1"/>
    </row>
    <row r="247" spans="1:13" ht="26.25" customHeight="1" x14ac:dyDescent="0.25">
      <c r="A247" s="126"/>
      <c r="B247" s="1"/>
      <c r="E247" s="1"/>
      <c r="F247" s="1"/>
      <c r="H247" s="1"/>
      <c r="K247" s="1"/>
      <c r="M247" s="1"/>
    </row>
    <row r="248" spans="1:13" ht="26.25" customHeight="1" x14ac:dyDescent="0.25">
      <c r="A248" s="126"/>
      <c r="B248" s="1"/>
      <c r="E248" s="1"/>
      <c r="F248" s="1"/>
      <c r="H248" s="1"/>
      <c r="K248" s="1"/>
      <c r="M248" s="1"/>
    </row>
    <row r="249" spans="1:13" ht="26.25" customHeight="1" x14ac:dyDescent="0.25">
      <c r="A249" s="126"/>
      <c r="B249" s="1"/>
      <c r="E249" s="1"/>
      <c r="F249" s="1"/>
      <c r="H249" s="1"/>
      <c r="K249" s="1"/>
      <c r="M249" s="1"/>
    </row>
    <row r="250" spans="1:13" ht="26.25" customHeight="1" x14ac:dyDescent="0.25">
      <c r="A250" s="126"/>
      <c r="B250" s="1"/>
      <c r="E250" s="1"/>
      <c r="F250" s="1"/>
      <c r="H250" s="1"/>
      <c r="K250" s="1"/>
      <c r="M250" s="1"/>
    </row>
    <row r="251" spans="1:13" ht="26.25" customHeight="1" x14ac:dyDescent="0.25">
      <c r="A251" s="126"/>
      <c r="B251" s="1"/>
      <c r="E251" s="1"/>
      <c r="F251" s="1"/>
      <c r="H251" s="1"/>
      <c r="K251" s="1"/>
      <c r="M251" s="1"/>
    </row>
    <row r="252" spans="1:13" ht="26.25" customHeight="1" x14ac:dyDescent="0.25">
      <c r="A252" s="126"/>
      <c r="B252" s="1"/>
      <c r="E252" s="1"/>
      <c r="F252" s="1"/>
      <c r="H252" s="1"/>
      <c r="K252" s="1"/>
      <c r="M252" s="1"/>
    </row>
    <row r="253" spans="1:13" ht="26.25" customHeight="1" x14ac:dyDescent="0.25">
      <c r="A253" s="126"/>
      <c r="B253" s="1"/>
      <c r="E253" s="1"/>
      <c r="F253" s="1"/>
      <c r="H253" s="1"/>
      <c r="K253" s="1"/>
      <c r="M253" s="1"/>
    </row>
    <row r="254" spans="1:13" ht="26.25" customHeight="1" x14ac:dyDescent="0.25">
      <c r="A254" s="126"/>
      <c r="B254" s="1"/>
      <c r="E254" s="1"/>
      <c r="F254" s="1"/>
      <c r="H254" s="1"/>
      <c r="K254" s="1"/>
      <c r="M254" s="1"/>
    </row>
    <row r="255" spans="1:13" ht="26.25" customHeight="1" x14ac:dyDescent="0.25">
      <c r="A255" s="126"/>
      <c r="B255" s="1"/>
      <c r="E255" s="1"/>
      <c r="F255" s="1"/>
      <c r="H255" s="1"/>
      <c r="K255" s="1"/>
      <c r="M255" s="1"/>
    </row>
    <row r="256" spans="1:13" ht="26.25" customHeight="1" x14ac:dyDescent="0.25">
      <c r="A256" s="126"/>
      <c r="B256" s="1"/>
      <c r="E256" s="1"/>
      <c r="F256" s="1"/>
      <c r="H256" s="1"/>
      <c r="K256" s="1"/>
      <c r="M256" s="1"/>
    </row>
    <row r="257" spans="1:13" ht="26.25" customHeight="1" x14ac:dyDescent="0.25">
      <c r="A257" s="126"/>
      <c r="B257" s="1"/>
      <c r="E257" s="1"/>
      <c r="F257" s="1"/>
      <c r="H257" s="1"/>
      <c r="K257" s="1"/>
      <c r="M257" s="1"/>
    </row>
    <row r="258" spans="1:13" ht="26.25" customHeight="1" x14ac:dyDescent="0.25">
      <c r="A258" s="126"/>
      <c r="B258" s="1"/>
      <c r="E258" s="1"/>
      <c r="F258" s="1"/>
      <c r="H258" s="1"/>
      <c r="K258" s="1"/>
      <c r="M258" s="1"/>
    </row>
    <row r="259" spans="1:13" ht="26.25" customHeight="1" x14ac:dyDescent="0.25">
      <c r="A259" s="126"/>
      <c r="B259" s="1"/>
      <c r="E259" s="1"/>
      <c r="F259" s="1"/>
      <c r="H259" s="1"/>
      <c r="K259" s="1"/>
      <c r="M259" s="1"/>
    </row>
    <row r="260" spans="1:13" ht="26.25" customHeight="1" x14ac:dyDescent="0.25">
      <c r="A260" s="126"/>
      <c r="B260" s="1"/>
      <c r="E260" s="1"/>
      <c r="F260" s="1"/>
      <c r="H260" s="1"/>
      <c r="K260" s="1"/>
      <c r="M260" s="1"/>
    </row>
    <row r="261" spans="1:13" ht="26.25" customHeight="1" x14ac:dyDescent="0.25">
      <c r="A261" s="126"/>
      <c r="B261" s="1"/>
      <c r="E261" s="1"/>
      <c r="F261" s="1"/>
      <c r="H261" s="1"/>
      <c r="K261" s="1"/>
      <c r="M261" s="1"/>
    </row>
    <row r="262" spans="1:13" ht="26.25" customHeight="1" x14ac:dyDescent="0.25">
      <c r="A262" s="126"/>
      <c r="B262" s="1"/>
      <c r="E262" s="1"/>
      <c r="F262" s="1"/>
      <c r="H262" s="1"/>
      <c r="K262" s="1"/>
      <c r="M262" s="1"/>
    </row>
    <row r="263" spans="1:13" ht="26.25" customHeight="1" x14ac:dyDescent="0.25">
      <c r="A263" s="126"/>
      <c r="B263" s="1"/>
      <c r="E263" s="1"/>
      <c r="F263" s="1"/>
      <c r="H263" s="1"/>
      <c r="K263" s="1"/>
      <c r="M263" s="1"/>
    </row>
    <row r="264" spans="1:13" ht="26.25" customHeight="1" x14ac:dyDescent="0.25">
      <c r="A264" s="126"/>
      <c r="B264" s="1"/>
      <c r="E264" s="1"/>
      <c r="F264" s="1"/>
      <c r="H264" s="1"/>
      <c r="K264" s="1"/>
      <c r="M264" s="1"/>
    </row>
    <row r="265" spans="1:13" ht="26.25" customHeight="1" x14ac:dyDescent="0.25">
      <c r="A265" s="126"/>
      <c r="B265" s="1"/>
      <c r="E265" s="1"/>
      <c r="F265" s="1"/>
      <c r="H265" s="1"/>
      <c r="K265" s="1"/>
      <c r="M265" s="1"/>
    </row>
    <row r="266" spans="1:13" ht="26.25" customHeight="1" x14ac:dyDescent="0.25">
      <c r="A266" s="126"/>
      <c r="B266" s="1"/>
      <c r="E266" s="1"/>
      <c r="F266" s="1"/>
      <c r="H266" s="1"/>
      <c r="K266" s="1"/>
      <c r="M266" s="1"/>
    </row>
    <row r="267" spans="1:13" ht="26.25" customHeight="1" x14ac:dyDescent="0.25">
      <c r="A267" s="126"/>
      <c r="B267" s="1"/>
      <c r="E267" s="1"/>
      <c r="F267" s="1"/>
      <c r="H267" s="1"/>
      <c r="K267" s="1"/>
      <c r="M267" s="1"/>
    </row>
    <row r="268" spans="1:13" ht="26.25" customHeight="1" x14ac:dyDescent="0.25">
      <c r="A268" s="126"/>
      <c r="B268" s="1"/>
      <c r="E268" s="1"/>
      <c r="F268" s="1"/>
      <c r="H268" s="1"/>
      <c r="K268" s="1"/>
      <c r="M268" s="1"/>
    </row>
    <row r="269" spans="1:13" ht="26.25" customHeight="1" x14ac:dyDescent="0.25">
      <c r="A269" s="126"/>
      <c r="B269" s="1"/>
      <c r="E269" s="1"/>
      <c r="F269" s="1"/>
      <c r="H269" s="1"/>
      <c r="K269" s="1"/>
      <c r="M269" s="1"/>
    </row>
    <row r="270" spans="1:13" ht="26.25" customHeight="1" x14ac:dyDescent="0.25">
      <c r="A270" s="126"/>
      <c r="B270" s="1"/>
      <c r="E270" s="1"/>
      <c r="F270" s="1"/>
      <c r="H270" s="1"/>
      <c r="K270" s="1"/>
      <c r="M270" s="1"/>
    </row>
    <row r="271" spans="1:13" ht="26.25" customHeight="1" x14ac:dyDescent="0.25">
      <c r="A271" s="126"/>
      <c r="B271" s="1"/>
      <c r="E271" s="1"/>
      <c r="F271" s="1"/>
      <c r="H271" s="1"/>
      <c r="K271" s="1"/>
      <c r="M271" s="1"/>
    </row>
    <row r="272" spans="1:13" ht="26.25" customHeight="1" x14ac:dyDescent="0.25">
      <c r="A272" s="126"/>
      <c r="B272" s="1"/>
      <c r="E272" s="1"/>
      <c r="F272" s="1"/>
      <c r="H272" s="1"/>
      <c r="K272" s="1"/>
      <c r="M272" s="1"/>
    </row>
    <row r="273" spans="1:13" ht="26.25" customHeight="1" x14ac:dyDescent="0.25">
      <c r="A273" s="126"/>
      <c r="B273" s="1"/>
      <c r="E273" s="1"/>
      <c r="F273" s="1"/>
      <c r="H273" s="1"/>
      <c r="K273" s="1"/>
      <c r="M273" s="1"/>
    </row>
    <row r="274" spans="1:13" ht="26.25" customHeight="1" x14ac:dyDescent="0.25">
      <c r="A274" s="126"/>
      <c r="B274" s="1"/>
      <c r="E274" s="1"/>
      <c r="F274" s="1"/>
      <c r="H274" s="1"/>
      <c r="K274" s="1"/>
      <c r="M274" s="1"/>
    </row>
    <row r="275" spans="1:13" ht="26.25" customHeight="1" x14ac:dyDescent="0.25">
      <c r="A275" s="126"/>
      <c r="B275" s="1"/>
      <c r="E275" s="1"/>
      <c r="F275" s="1"/>
      <c r="H275" s="1"/>
      <c r="K275" s="1"/>
      <c r="M275" s="1"/>
    </row>
    <row r="276" spans="1:13" ht="26.25" customHeight="1" x14ac:dyDescent="0.25">
      <c r="A276" s="126"/>
      <c r="B276" s="1"/>
      <c r="E276" s="1"/>
      <c r="F276" s="1"/>
      <c r="H276" s="1"/>
      <c r="K276" s="1"/>
      <c r="M276" s="1"/>
    </row>
    <row r="277" spans="1:13" ht="26.25" customHeight="1" x14ac:dyDescent="0.25">
      <c r="A277" s="126"/>
      <c r="B277" s="1"/>
      <c r="E277" s="1"/>
      <c r="F277" s="1"/>
      <c r="H277" s="1"/>
      <c r="K277" s="1"/>
      <c r="M277" s="1"/>
    </row>
    <row r="278" spans="1:13" ht="26.25" customHeight="1" x14ac:dyDescent="0.25">
      <c r="A278" s="126"/>
      <c r="B278" s="1"/>
      <c r="E278" s="1"/>
      <c r="F278" s="1"/>
      <c r="H278" s="1"/>
      <c r="K278" s="1"/>
      <c r="M278" s="1"/>
    </row>
    <row r="279" spans="1:13" ht="26.25" customHeight="1" x14ac:dyDescent="0.25">
      <c r="A279" s="126"/>
      <c r="B279" s="1"/>
      <c r="E279" s="1"/>
      <c r="F279" s="1"/>
      <c r="H279" s="1"/>
      <c r="K279" s="1"/>
      <c r="M279" s="1"/>
    </row>
    <row r="280" spans="1:13" ht="26.25" customHeight="1" x14ac:dyDescent="0.25">
      <c r="A280" s="126"/>
      <c r="B280" s="1"/>
      <c r="E280" s="1"/>
      <c r="F280" s="1"/>
      <c r="H280" s="1"/>
      <c r="K280" s="1"/>
      <c r="M280" s="1"/>
    </row>
    <row r="281" spans="1:13" ht="26.25" customHeight="1" x14ac:dyDescent="0.25">
      <c r="A281" s="126"/>
      <c r="B281" s="1"/>
      <c r="E281" s="1"/>
      <c r="F281" s="1"/>
      <c r="H281" s="1"/>
      <c r="K281" s="1"/>
      <c r="M281" s="1"/>
    </row>
    <row r="282" spans="1:13" ht="26.25" customHeight="1" x14ac:dyDescent="0.25">
      <c r="A282" s="126"/>
      <c r="B282" s="1"/>
      <c r="E282" s="1"/>
      <c r="F282" s="1"/>
      <c r="H282" s="1"/>
      <c r="K282" s="1"/>
      <c r="M282" s="1"/>
    </row>
    <row r="283" spans="1:13" ht="26.25" customHeight="1" x14ac:dyDescent="0.25">
      <c r="A283" s="126"/>
      <c r="B283" s="1"/>
      <c r="E283" s="1"/>
      <c r="F283" s="1"/>
      <c r="H283" s="1"/>
      <c r="K283" s="1"/>
      <c r="M283" s="1"/>
    </row>
    <row r="284" spans="1:13" ht="26.25" customHeight="1" x14ac:dyDescent="0.25">
      <c r="A284" s="126"/>
      <c r="B284" s="1"/>
      <c r="E284" s="1"/>
      <c r="F284" s="1"/>
      <c r="H284" s="1"/>
      <c r="K284" s="1"/>
      <c r="M284" s="1"/>
    </row>
    <row r="285" spans="1:13" ht="26.25" customHeight="1" x14ac:dyDescent="0.25">
      <c r="A285" s="126"/>
      <c r="B285" s="1"/>
      <c r="E285" s="1"/>
      <c r="F285" s="1"/>
      <c r="H285" s="1"/>
      <c r="K285" s="1"/>
      <c r="M285" s="1"/>
    </row>
    <row r="286" spans="1:13" ht="26.25" customHeight="1" x14ac:dyDescent="0.25">
      <c r="A286" s="126"/>
      <c r="B286" s="1"/>
      <c r="E286" s="1"/>
      <c r="F286" s="1"/>
      <c r="H286" s="1"/>
      <c r="K286" s="1"/>
      <c r="M286" s="1"/>
    </row>
    <row r="287" spans="1:13" ht="26.25" customHeight="1" x14ac:dyDescent="0.25">
      <c r="A287" s="126"/>
      <c r="B287" s="1"/>
      <c r="E287" s="1"/>
      <c r="F287" s="1"/>
      <c r="H287" s="1"/>
      <c r="K287" s="1"/>
      <c r="M287" s="1"/>
    </row>
    <row r="288" spans="1:13" ht="26.25" customHeight="1" x14ac:dyDescent="0.25">
      <c r="A288" s="126"/>
      <c r="B288" s="1"/>
      <c r="E288" s="1"/>
      <c r="F288" s="1"/>
      <c r="H288" s="1"/>
      <c r="K288" s="1"/>
      <c r="M288" s="1"/>
    </row>
    <row r="289" spans="1:13" ht="26.25" customHeight="1" x14ac:dyDescent="0.25">
      <c r="A289" s="126"/>
      <c r="B289" s="1"/>
      <c r="E289" s="1"/>
      <c r="F289" s="1"/>
      <c r="H289" s="1"/>
      <c r="K289" s="1"/>
      <c r="M289" s="1"/>
    </row>
    <row r="290" spans="1:13" ht="26.25" customHeight="1" x14ac:dyDescent="0.25">
      <c r="A290" s="126"/>
      <c r="B290" s="1"/>
      <c r="E290" s="1"/>
      <c r="F290" s="1"/>
      <c r="H290" s="1"/>
      <c r="K290" s="1"/>
      <c r="M290" s="1"/>
    </row>
    <row r="291" spans="1:13" ht="26.25" customHeight="1" x14ac:dyDescent="0.25">
      <c r="A291" s="126"/>
      <c r="B291" s="1"/>
      <c r="E291" s="1"/>
      <c r="F291" s="1"/>
      <c r="H291" s="1"/>
      <c r="K291" s="1"/>
      <c r="M291" s="1"/>
    </row>
    <row r="292" spans="1:13" ht="26.25" customHeight="1" x14ac:dyDescent="0.25">
      <c r="A292" s="126"/>
      <c r="B292" s="1"/>
      <c r="E292" s="1"/>
      <c r="F292" s="1"/>
      <c r="H292" s="1"/>
      <c r="K292" s="1"/>
      <c r="M292" s="1"/>
    </row>
    <row r="293" spans="1:13" ht="26.25" customHeight="1" x14ac:dyDescent="0.25">
      <c r="A293" s="126"/>
      <c r="B293" s="1"/>
      <c r="E293" s="1"/>
      <c r="F293" s="1"/>
      <c r="H293" s="1"/>
      <c r="K293" s="1"/>
      <c r="M293" s="1"/>
    </row>
    <row r="294" spans="1:13" ht="26.25" customHeight="1" x14ac:dyDescent="0.25">
      <c r="A294" s="126"/>
      <c r="B294" s="1"/>
      <c r="E294" s="1"/>
      <c r="F294" s="1"/>
      <c r="H294" s="1"/>
      <c r="K294" s="1"/>
      <c r="M294" s="1"/>
    </row>
    <row r="295" spans="1:13" ht="26.25" customHeight="1" x14ac:dyDescent="0.25">
      <c r="A295" s="126"/>
      <c r="B295" s="1"/>
      <c r="E295" s="1"/>
      <c r="F295" s="1"/>
      <c r="H295" s="1"/>
      <c r="K295" s="1"/>
      <c r="M295" s="1"/>
    </row>
    <row r="296" spans="1:13" ht="26.25" customHeight="1" x14ac:dyDescent="0.25">
      <c r="A296" s="126"/>
      <c r="B296" s="1"/>
      <c r="E296" s="1"/>
      <c r="F296" s="1"/>
      <c r="H296" s="1"/>
      <c r="K296" s="1"/>
      <c r="M296" s="1"/>
    </row>
    <row r="297" spans="1:13" ht="26.25" customHeight="1" x14ac:dyDescent="0.25">
      <c r="A297" s="126"/>
      <c r="B297" s="1"/>
      <c r="E297" s="1"/>
      <c r="F297" s="1"/>
      <c r="H297" s="1"/>
      <c r="K297" s="1"/>
      <c r="M297" s="1"/>
    </row>
    <row r="298" spans="1:13" ht="26.25" customHeight="1" x14ac:dyDescent="0.25">
      <c r="A298" s="126"/>
      <c r="B298" s="1"/>
      <c r="E298" s="1"/>
      <c r="F298" s="1"/>
      <c r="H298" s="1"/>
      <c r="K298" s="1"/>
      <c r="M298" s="1"/>
    </row>
    <row r="299" spans="1:13" ht="26.25" customHeight="1" x14ac:dyDescent="0.25">
      <c r="A299" s="126"/>
      <c r="B299" s="1"/>
      <c r="E299" s="1"/>
      <c r="F299" s="1"/>
      <c r="H299" s="1"/>
      <c r="K299" s="1"/>
      <c r="M299" s="1"/>
    </row>
    <row r="300" spans="1:13" ht="26.25" customHeight="1" x14ac:dyDescent="0.25">
      <c r="A300" s="126"/>
      <c r="B300" s="1"/>
      <c r="E300" s="1"/>
      <c r="F300" s="1"/>
      <c r="H300" s="1"/>
      <c r="K300" s="1"/>
      <c r="M300" s="1"/>
    </row>
    <row r="301" spans="1:13" ht="26.25" customHeight="1" x14ac:dyDescent="0.25">
      <c r="A301" s="126"/>
      <c r="B301" s="1"/>
      <c r="E301" s="1"/>
      <c r="F301" s="1"/>
      <c r="H301" s="1"/>
      <c r="K301" s="1"/>
      <c r="M301" s="1"/>
    </row>
    <row r="302" spans="1:13" ht="26.25" customHeight="1" x14ac:dyDescent="0.25">
      <c r="A302" s="126"/>
      <c r="B302" s="1"/>
      <c r="E302" s="1"/>
      <c r="F302" s="1"/>
      <c r="H302" s="1"/>
      <c r="K302" s="1"/>
      <c r="M302" s="1"/>
    </row>
    <row r="303" spans="1:13" ht="26.25" customHeight="1" x14ac:dyDescent="0.25">
      <c r="A303" s="126"/>
      <c r="B303" s="1"/>
      <c r="E303" s="1"/>
      <c r="F303" s="1"/>
      <c r="H303" s="1"/>
      <c r="K303" s="1"/>
      <c r="M303" s="1"/>
    </row>
    <row r="304" spans="1:13" ht="26.25" customHeight="1" x14ac:dyDescent="0.25">
      <c r="A304" s="126"/>
      <c r="B304" s="1"/>
      <c r="E304" s="1"/>
      <c r="F304" s="1"/>
      <c r="H304" s="1"/>
      <c r="K304" s="1"/>
      <c r="M304" s="1"/>
    </row>
    <row r="305" spans="1:13" ht="26.25" customHeight="1" x14ac:dyDescent="0.25">
      <c r="A305" s="126"/>
      <c r="B305" s="1"/>
      <c r="E305" s="1"/>
      <c r="F305" s="1"/>
      <c r="H305" s="1"/>
      <c r="K305" s="1"/>
      <c r="M305" s="1"/>
    </row>
    <row r="306" spans="1:13" ht="26.25" customHeight="1" x14ac:dyDescent="0.25">
      <c r="A306" s="126"/>
      <c r="B306" s="1"/>
      <c r="E306" s="1"/>
      <c r="F306" s="1"/>
      <c r="H306" s="1"/>
      <c r="K306" s="1"/>
      <c r="M306" s="1"/>
    </row>
    <row r="307" spans="1:13" ht="26.25" customHeight="1" x14ac:dyDescent="0.25">
      <c r="A307" s="126"/>
      <c r="B307" s="1"/>
      <c r="E307" s="1"/>
      <c r="F307" s="1"/>
      <c r="H307" s="1"/>
      <c r="K307" s="1"/>
      <c r="M307" s="1"/>
    </row>
    <row r="308" spans="1:13" ht="26.25" customHeight="1" x14ac:dyDescent="0.25">
      <c r="A308" s="126"/>
      <c r="B308" s="1"/>
      <c r="E308" s="1"/>
      <c r="F308" s="1"/>
      <c r="H308" s="1"/>
      <c r="K308" s="1"/>
      <c r="M308" s="1"/>
    </row>
    <row r="309" spans="1:13" ht="26.25" customHeight="1" x14ac:dyDescent="0.25">
      <c r="A309" s="126"/>
      <c r="B309" s="1"/>
      <c r="E309" s="1"/>
      <c r="F309" s="1"/>
      <c r="H309" s="1"/>
      <c r="K309" s="1"/>
      <c r="M309" s="1"/>
    </row>
    <row r="310" spans="1:13" ht="26.25" customHeight="1" x14ac:dyDescent="0.25">
      <c r="A310" s="126"/>
      <c r="B310" s="1"/>
      <c r="E310" s="1"/>
      <c r="F310" s="1"/>
      <c r="H310" s="1"/>
      <c r="K310" s="1"/>
      <c r="M310" s="1"/>
    </row>
    <row r="311" spans="1:13" ht="26.25" customHeight="1" x14ac:dyDescent="0.25">
      <c r="A311" s="126"/>
      <c r="B311" s="1"/>
      <c r="E311" s="1"/>
      <c r="F311" s="1"/>
      <c r="H311" s="1"/>
      <c r="K311" s="1"/>
      <c r="M311" s="1"/>
    </row>
    <row r="312" spans="1:13" ht="26.25" customHeight="1" x14ac:dyDescent="0.25">
      <c r="A312" s="126"/>
      <c r="B312" s="1"/>
      <c r="E312" s="1"/>
      <c r="F312" s="1"/>
      <c r="H312" s="1"/>
      <c r="K312" s="1"/>
      <c r="M312" s="1"/>
    </row>
    <row r="313" spans="1:13" ht="26.25" customHeight="1" x14ac:dyDescent="0.25">
      <c r="A313" s="126"/>
      <c r="B313" s="1"/>
      <c r="E313" s="1"/>
      <c r="F313" s="1"/>
      <c r="H313" s="1"/>
      <c r="K313" s="1"/>
      <c r="M313" s="1"/>
    </row>
    <row r="314" spans="1:13" ht="26.25" customHeight="1" x14ac:dyDescent="0.25">
      <c r="A314" s="126"/>
      <c r="B314" s="1"/>
      <c r="E314" s="1"/>
      <c r="F314" s="1"/>
      <c r="H314" s="1"/>
      <c r="K314" s="1"/>
      <c r="M314" s="1"/>
    </row>
    <row r="315" spans="1:13" ht="26.25" customHeight="1" x14ac:dyDescent="0.25">
      <c r="A315" s="126"/>
      <c r="B315" s="1"/>
      <c r="E315" s="1"/>
      <c r="F315" s="1"/>
      <c r="H315" s="1"/>
      <c r="K315" s="1"/>
      <c r="M315" s="1"/>
    </row>
    <row r="316" spans="1:13" ht="26.25" customHeight="1" x14ac:dyDescent="0.25">
      <c r="A316" s="126"/>
      <c r="B316" s="1"/>
      <c r="E316" s="1"/>
      <c r="F316" s="1"/>
      <c r="H316" s="1"/>
      <c r="K316" s="1"/>
      <c r="M316" s="1"/>
    </row>
    <row r="317" spans="1:13" ht="26.25" customHeight="1" x14ac:dyDescent="0.25">
      <c r="A317" s="126"/>
      <c r="B317" s="1"/>
      <c r="E317" s="1"/>
      <c r="F317" s="1"/>
      <c r="H317" s="1"/>
      <c r="K317" s="1"/>
      <c r="M317" s="1"/>
    </row>
    <row r="318" spans="1:13" ht="26.25" customHeight="1" x14ac:dyDescent="0.25">
      <c r="A318" s="126"/>
      <c r="B318" s="1"/>
      <c r="E318" s="1"/>
      <c r="F318" s="1"/>
      <c r="H318" s="1"/>
      <c r="K318" s="1"/>
      <c r="M318" s="1"/>
    </row>
    <row r="319" spans="1:13" ht="26.25" customHeight="1" x14ac:dyDescent="0.25">
      <c r="A319" s="126"/>
      <c r="B319" s="1"/>
      <c r="E319" s="1"/>
      <c r="F319" s="1"/>
      <c r="H319" s="1"/>
      <c r="K319" s="1"/>
      <c r="M319" s="1"/>
    </row>
    <row r="320" spans="1:13" ht="26.25" customHeight="1" x14ac:dyDescent="0.25">
      <c r="A320" s="126"/>
      <c r="B320" s="1"/>
      <c r="E320" s="1"/>
      <c r="F320" s="1"/>
      <c r="H320" s="1"/>
      <c r="K320" s="1"/>
      <c r="M320" s="1"/>
    </row>
    <row r="321" spans="1:13" ht="26.25" customHeight="1" x14ac:dyDescent="0.25">
      <c r="A321" s="126"/>
      <c r="B321" s="1"/>
      <c r="E321" s="1"/>
      <c r="F321" s="1"/>
      <c r="H321" s="1"/>
      <c r="K321" s="1"/>
      <c r="M321" s="1"/>
    </row>
    <row r="322" spans="1:13" ht="26.25" customHeight="1" x14ac:dyDescent="0.25">
      <c r="A322" s="126"/>
      <c r="B322" s="1"/>
      <c r="E322" s="1"/>
      <c r="F322" s="1"/>
      <c r="H322" s="1"/>
      <c r="K322" s="1"/>
      <c r="M322" s="1"/>
    </row>
    <row r="323" spans="1:13" ht="26.25" customHeight="1" x14ac:dyDescent="0.25">
      <c r="A323" s="126"/>
      <c r="B323" s="1"/>
      <c r="E323" s="1"/>
      <c r="F323" s="1"/>
      <c r="H323" s="1"/>
      <c r="K323" s="1"/>
      <c r="M323" s="1"/>
    </row>
    <row r="324" spans="1:13" ht="26.25" customHeight="1" x14ac:dyDescent="0.25">
      <c r="A324" s="126"/>
      <c r="B324" s="1"/>
      <c r="E324" s="1"/>
      <c r="F324" s="1"/>
      <c r="H324" s="1"/>
      <c r="K324" s="1"/>
      <c r="M324" s="1"/>
    </row>
    <row r="325" spans="1:13" ht="26.25" customHeight="1" x14ac:dyDescent="0.25">
      <c r="A325" s="126"/>
      <c r="B325" s="1"/>
      <c r="E325" s="1"/>
      <c r="F325" s="1"/>
      <c r="H325" s="1"/>
      <c r="K325" s="1"/>
      <c r="M325" s="1"/>
    </row>
    <row r="326" spans="1:13" ht="26.25" customHeight="1" x14ac:dyDescent="0.25">
      <c r="A326" s="126"/>
      <c r="B326" s="1"/>
      <c r="E326" s="1"/>
      <c r="F326" s="1"/>
      <c r="H326" s="1"/>
      <c r="K326" s="1"/>
      <c r="M326" s="1"/>
    </row>
    <row r="327" spans="1:13" ht="26.25" customHeight="1" x14ac:dyDescent="0.25">
      <c r="A327" s="126"/>
      <c r="B327" s="1"/>
      <c r="E327" s="1"/>
      <c r="F327" s="1"/>
      <c r="H327" s="1"/>
      <c r="K327" s="1"/>
      <c r="M327" s="1"/>
    </row>
    <row r="328" spans="1:13" ht="26.25" customHeight="1" x14ac:dyDescent="0.25">
      <c r="A328" s="126"/>
      <c r="B328" s="1"/>
      <c r="E328" s="1"/>
      <c r="F328" s="1"/>
      <c r="H328" s="1"/>
      <c r="K328" s="1"/>
      <c r="M328" s="1"/>
    </row>
    <row r="329" spans="1:13" ht="26.25" customHeight="1" x14ac:dyDescent="0.25">
      <c r="A329" s="126"/>
      <c r="B329" s="1"/>
      <c r="E329" s="1"/>
      <c r="F329" s="1"/>
      <c r="H329" s="1"/>
      <c r="K329" s="1"/>
      <c r="M329" s="1"/>
    </row>
    <row r="330" spans="1:13" ht="26.25" customHeight="1" x14ac:dyDescent="0.25">
      <c r="A330" s="126"/>
      <c r="B330" s="1"/>
      <c r="E330" s="1"/>
      <c r="F330" s="1"/>
      <c r="H330" s="1"/>
      <c r="K330" s="1"/>
      <c r="M330" s="1"/>
    </row>
    <row r="331" spans="1:13" ht="26.25" customHeight="1" x14ac:dyDescent="0.25">
      <c r="A331" s="126"/>
      <c r="B331" s="1"/>
      <c r="E331" s="1"/>
      <c r="F331" s="1"/>
      <c r="H331" s="1"/>
      <c r="K331" s="1"/>
      <c r="M331" s="1"/>
    </row>
    <row r="332" spans="1:13" ht="26.25" customHeight="1" x14ac:dyDescent="0.25">
      <c r="A332" s="126"/>
      <c r="B332" s="1"/>
      <c r="E332" s="1"/>
      <c r="F332" s="1"/>
      <c r="H332" s="1"/>
      <c r="K332" s="1"/>
      <c r="M332" s="1"/>
    </row>
    <row r="333" spans="1:13" ht="26.25" customHeight="1" x14ac:dyDescent="0.25">
      <c r="A333" s="126"/>
      <c r="B333" s="1"/>
      <c r="E333" s="1"/>
      <c r="F333" s="1"/>
      <c r="H333" s="1"/>
      <c r="K333" s="1"/>
      <c r="M333" s="1"/>
    </row>
    <row r="334" spans="1:13" ht="26.25" customHeight="1" x14ac:dyDescent="0.25">
      <c r="A334" s="126"/>
      <c r="B334" s="1"/>
      <c r="E334" s="1"/>
      <c r="F334" s="1"/>
      <c r="H334" s="1"/>
      <c r="K334" s="1"/>
      <c r="M334" s="1"/>
    </row>
    <row r="335" spans="1:13" ht="26.25" customHeight="1" x14ac:dyDescent="0.25">
      <c r="A335" s="126"/>
      <c r="B335" s="1"/>
      <c r="E335" s="1"/>
      <c r="F335" s="1"/>
      <c r="H335" s="1"/>
      <c r="K335" s="1"/>
      <c r="M335" s="1"/>
    </row>
    <row r="336" spans="1:13" ht="26.25" customHeight="1" x14ac:dyDescent="0.25">
      <c r="A336" s="126"/>
      <c r="B336" s="1"/>
      <c r="E336" s="1"/>
      <c r="F336" s="1"/>
      <c r="H336" s="1"/>
      <c r="K336" s="1"/>
      <c r="M336" s="1"/>
    </row>
    <row r="337" spans="1:13" ht="26.25" customHeight="1" x14ac:dyDescent="0.25">
      <c r="A337" s="126"/>
      <c r="B337" s="1"/>
      <c r="E337" s="1"/>
      <c r="F337" s="1"/>
      <c r="H337" s="1"/>
      <c r="K337" s="1"/>
      <c r="M337" s="1"/>
    </row>
    <row r="338" spans="1:13" ht="26.25" customHeight="1" x14ac:dyDescent="0.25">
      <c r="A338" s="126"/>
      <c r="B338" s="1"/>
      <c r="E338" s="1"/>
      <c r="F338" s="1"/>
      <c r="H338" s="1"/>
      <c r="K338" s="1"/>
      <c r="M338" s="1"/>
    </row>
    <row r="339" spans="1:13" ht="26.25" customHeight="1" x14ac:dyDescent="0.25">
      <c r="A339" s="126"/>
      <c r="B339" s="1"/>
      <c r="E339" s="1"/>
      <c r="F339" s="1"/>
      <c r="H339" s="1"/>
      <c r="K339" s="1"/>
      <c r="M339" s="1"/>
    </row>
    <row r="340" spans="1:13" ht="26.25" customHeight="1" x14ac:dyDescent="0.25">
      <c r="A340" s="126"/>
      <c r="B340" s="1"/>
      <c r="E340" s="1"/>
      <c r="F340" s="1"/>
      <c r="H340" s="1"/>
      <c r="K340" s="1"/>
      <c r="M340" s="1"/>
    </row>
    <row r="341" spans="1:13" ht="26.25" customHeight="1" x14ac:dyDescent="0.25">
      <c r="A341" s="126"/>
      <c r="B341" s="1"/>
      <c r="E341" s="1"/>
      <c r="F341" s="1"/>
      <c r="H341" s="1"/>
      <c r="K341" s="1"/>
      <c r="M341" s="1"/>
    </row>
    <row r="342" spans="1:13" ht="26.25" customHeight="1" x14ac:dyDescent="0.25">
      <c r="A342" s="126"/>
      <c r="B342" s="1"/>
      <c r="E342" s="1"/>
      <c r="F342" s="1"/>
      <c r="H342" s="1"/>
      <c r="K342" s="1"/>
      <c r="M342" s="1"/>
    </row>
    <row r="343" spans="1:13" ht="26.25" customHeight="1" x14ac:dyDescent="0.25">
      <c r="A343" s="126"/>
      <c r="B343" s="1"/>
      <c r="E343" s="1"/>
      <c r="F343" s="1"/>
      <c r="H343" s="1"/>
      <c r="K343" s="1"/>
      <c r="M343" s="1"/>
    </row>
    <row r="344" spans="1:13" ht="26.25" customHeight="1" x14ac:dyDescent="0.25">
      <c r="A344" s="126"/>
      <c r="B344" s="1"/>
      <c r="E344" s="1"/>
      <c r="F344" s="1"/>
      <c r="H344" s="1"/>
      <c r="K344" s="1"/>
      <c r="M344" s="1"/>
    </row>
    <row r="345" spans="1:13" ht="26.25" customHeight="1" x14ac:dyDescent="0.25">
      <c r="A345" s="126"/>
      <c r="B345" s="1"/>
      <c r="E345" s="1"/>
      <c r="F345" s="1"/>
      <c r="H345" s="1"/>
      <c r="K345" s="1"/>
      <c r="M345" s="1"/>
    </row>
    <row r="346" spans="1:13" ht="26.25" customHeight="1" x14ac:dyDescent="0.25">
      <c r="A346" s="126"/>
      <c r="B346" s="1"/>
      <c r="E346" s="1"/>
      <c r="F346" s="1"/>
      <c r="H346" s="1"/>
      <c r="K346" s="1"/>
      <c r="M346" s="1"/>
    </row>
    <row r="347" spans="1:13" ht="26.25" customHeight="1" x14ac:dyDescent="0.25">
      <c r="A347" s="126"/>
      <c r="B347" s="1"/>
      <c r="E347" s="1"/>
      <c r="F347" s="1"/>
      <c r="H347" s="1"/>
      <c r="K347" s="1"/>
      <c r="M347" s="1"/>
    </row>
    <row r="348" spans="1:13" ht="26.25" customHeight="1" x14ac:dyDescent="0.25">
      <c r="A348" s="126"/>
      <c r="B348" s="1"/>
      <c r="E348" s="1"/>
      <c r="F348" s="1"/>
      <c r="H348" s="1"/>
      <c r="K348" s="1"/>
      <c r="M348" s="1"/>
    </row>
    <row r="349" spans="1:13" ht="26.25" customHeight="1" x14ac:dyDescent="0.25">
      <c r="A349" s="126"/>
      <c r="B349" s="1"/>
      <c r="E349" s="1"/>
      <c r="F349" s="1"/>
      <c r="H349" s="1"/>
      <c r="K349" s="1"/>
      <c r="M349" s="1"/>
    </row>
    <row r="350" spans="1:13" ht="26.25" customHeight="1" x14ac:dyDescent="0.25">
      <c r="A350" s="126"/>
      <c r="B350" s="1"/>
      <c r="E350" s="1"/>
      <c r="F350" s="1"/>
      <c r="H350" s="1"/>
      <c r="K350" s="1"/>
      <c r="M350" s="1"/>
    </row>
    <row r="351" spans="1:13" ht="26.25" customHeight="1" x14ac:dyDescent="0.25">
      <c r="A351" s="126"/>
      <c r="B351" s="1"/>
      <c r="E351" s="1"/>
      <c r="F351" s="1"/>
      <c r="H351" s="1"/>
      <c r="K351" s="1"/>
      <c r="M351" s="1"/>
    </row>
    <row r="352" spans="1:13" ht="26.25" customHeight="1" x14ac:dyDescent="0.25">
      <c r="A352" s="126"/>
      <c r="B352" s="1"/>
      <c r="E352" s="1"/>
      <c r="F352" s="1"/>
      <c r="H352" s="1"/>
      <c r="K352" s="1"/>
      <c r="M352" s="1"/>
    </row>
    <row r="353" spans="1:13" ht="26.25" customHeight="1" x14ac:dyDescent="0.25">
      <c r="A353" s="126"/>
      <c r="B353" s="1"/>
      <c r="E353" s="1"/>
      <c r="F353" s="1"/>
      <c r="H353" s="1"/>
      <c r="K353" s="1"/>
      <c r="M353" s="1"/>
    </row>
    <row r="354" spans="1:13" ht="26.25" customHeight="1" x14ac:dyDescent="0.25">
      <c r="A354" s="126"/>
      <c r="B354" s="1"/>
      <c r="E354" s="1"/>
      <c r="F354" s="1"/>
      <c r="H354" s="1"/>
      <c r="K354" s="1"/>
      <c r="M354" s="1"/>
    </row>
    <row r="355" spans="1:13" ht="26.25" customHeight="1" x14ac:dyDescent="0.25">
      <c r="A355" s="126"/>
      <c r="B355" s="1"/>
      <c r="E355" s="1"/>
      <c r="F355" s="1"/>
      <c r="H355" s="1"/>
      <c r="K355" s="1"/>
      <c r="M355" s="1"/>
    </row>
    <row r="356" spans="1:13" ht="26.25" customHeight="1" x14ac:dyDescent="0.25">
      <c r="A356" s="126"/>
      <c r="B356" s="1"/>
      <c r="E356" s="1"/>
      <c r="F356" s="1"/>
      <c r="H356" s="1"/>
      <c r="K356" s="1"/>
      <c r="M356" s="1"/>
    </row>
    <row r="357" spans="1:13" ht="26.25" customHeight="1" x14ac:dyDescent="0.25">
      <c r="A357" s="126"/>
      <c r="B357" s="1"/>
      <c r="E357" s="1"/>
      <c r="F357" s="1"/>
      <c r="H357" s="1"/>
      <c r="K357" s="1"/>
      <c r="M357" s="1"/>
    </row>
    <row r="358" spans="1:13" ht="26.25" customHeight="1" x14ac:dyDescent="0.25">
      <c r="A358" s="126"/>
      <c r="B358" s="1"/>
      <c r="E358" s="1"/>
      <c r="F358" s="1"/>
      <c r="H358" s="1"/>
      <c r="K358" s="1"/>
      <c r="M358" s="1"/>
    </row>
    <row r="359" spans="1:13" ht="26.25" customHeight="1" x14ac:dyDescent="0.25">
      <c r="A359" s="126"/>
      <c r="B359" s="1"/>
      <c r="E359" s="1"/>
      <c r="F359" s="1"/>
      <c r="H359" s="1"/>
      <c r="K359" s="1"/>
      <c r="M359" s="1"/>
    </row>
    <row r="360" spans="1:13" ht="26.25" customHeight="1" x14ac:dyDescent="0.25">
      <c r="A360" s="126"/>
      <c r="B360" s="1"/>
      <c r="E360" s="1"/>
      <c r="F360" s="1"/>
      <c r="H360" s="1"/>
      <c r="K360" s="1"/>
      <c r="M360" s="1"/>
    </row>
    <row r="361" spans="1:13" ht="26.25" customHeight="1" x14ac:dyDescent="0.25">
      <c r="A361" s="126"/>
      <c r="B361" s="1"/>
      <c r="E361" s="1"/>
      <c r="F361" s="1"/>
      <c r="H361" s="1"/>
      <c r="K361" s="1"/>
      <c r="M361" s="1"/>
    </row>
    <row r="362" spans="1:13" ht="26.25" customHeight="1" x14ac:dyDescent="0.25">
      <c r="A362" s="126"/>
      <c r="B362" s="1"/>
      <c r="E362" s="1"/>
      <c r="F362" s="1"/>
      <c r="H362" s="1"/>
      <c r="K362" s="1"/>
      <c r="M362" s="1"/>
    </row>
    <row r="363" spans="1:13" ht="26.25" customHeight="1" x14ac:dyDescent="0.25">
      <c r="A363" s="126"/>
      <c r="B363" s="1"/>
      <c r="E363" s="1"/>
      <c r="F363" s="1"/>
      <c r="H363" s="1"/>
      <c r="K363" s="1"/>
      <c r="M363" s="1"/>
    </row>
    <row r="364" spans="1:13" ht="26.25" customHeight="1" x14ac:dyDescent="0.25">
      <c r="A364" s="126"/>
      <c r="B364" s="1"/>
      <c r="E364" s="1"/>
      <c r="F364" s="1"/>
      <c r="H364" s="1"/>
      <c r="K364" s="1"/>
      <c r="M364" s="1"/>
    </row>
    <row r="365" spans="1:13" ht="26.25" customHeight="1" x14ac:dyDescent="0.25">
      <c r="A365" s="126"/>
      <c r="B365" s="1"/>
      <c r="E365" s="1"/>
      <c r="F365" s="1"/>
      <c r="H365" s="1"/>
      <c r="K365" s="1"/>
      <c r="M365" s="1"/>
    </row>
    <row r="366" spans="1:13" ht="26.25" customHeight="1" x14ac:dyDescent="0.25">
      <c r="A366" s="126"/>
      <c r="B366" s="1"/>
      <c r="E366" s="1"/>
      <c r="F366" s="1"/>
      <c r="H366" s="1"/>
      <c r="K366" s="1"/>
      <c r="M366" s="1"/>
    </row>
    <row r="367" spans="1:13" ht="26.25" customHeight="1" x14ac:dyDescent="0.25">
      <c r="A367" s="126"/>
      <c r="B367" s="1"/>
      <c r="E367" s="1"/>
      <c r="F367" s="1"/>
      <c r="H367" s="1"/>
      <c r="K367" s="1"/>
      <c r="M367" s="1"/>
    </row>
    <row r="368" spans="1:13" ht="26.25" customHeight="1" x14ac:dyDescent="0.25">
      <c r="A368" s="126"/>
      <c r="B368" s="1"/>
      <c r="E368" s="1"/>
      <c r="F368" s="1"/>
      <c r="H368" s="1"/>
      <c r="K368" s="1"/>
      <c r="M368" s="1"/>
    </row>
    <row r="369" spans="1:13" ht="26.25" customHeight="1" x14ac:dyDescent="0.25">
      <c r="A369" s="126"/>
      <c r="B369" s="1"/>
      <c r="E369" s="1"/>
      <c r="F369" s="1"/>
      <c r="H369" s="1"/>
      <c r="K369" s="1"/>
      <c r="M369" s="1"/>
    </row>
    <row r="370" spans="1:13" ht="26.25" customHeight="1" x14ac:dyDescent="0.25">
      <c r="A370" s="126"/>
      <c r="B370" s="1"/>
      <c r="E370" s="1"/>
      <c r="F370" s="1"/>
      <c r="H370" s="1"/>
      <c r="K370" s="1"/>
      <c r="M370" s="1"/>
    </row>
    <row r="371" spans="1:13" ht="26.25" customHeight="1" x14ac:dyDescent="0.25">
      <c r="A371" s="126"/>
      <c r="B371" s="1"/>
      <c r="E371" s="1"/>
      <c r="F371" s="1"/>
      <c r="H371" s="1"/>
      <c r="K371" s="1"/>
      <c r="M371" s="1"/>
    </row>
    <row r="372" spans="1:13" ht="26.25" customHeight="1" x14ac:dyDescent="0.25">
      <c r="A372" s="126"/>
      <c r="B372" s="1"/>
      <c r="E372" s="1"/>
      <c r="F372" s="1"/>
      <c r="H372" s="1"/>
      <c r="K372" s="1"/>
      <c r="M372" s="1"/>
    </row>
    <row r="373" spans="1:13" ht="26.25" customHeight="1" x14ac:dyDescent="0.25">
      <c r="A373" s="126"/>
      <c r="B373" s="1"/>
      <c r="E373" s="1"/>
      <c r="F373" s="1"/>
      <c r="H373" s="1"/>
      <c r="K373" s="1"/>
      <c r="M373" s="1"/>
    </row>
    <row r="374" spans="1:13" ht="26.25" customHeight="1" x14ac:dyDescent="0.25">
      <c r="A374" s="126"/>
      <c r="B374" s="1"/>
      <c r="E374" s="1"/>
      <c r="F374" s="1"/>
      <c r="H374" s="1"/>
      <c r="K374" s="1"/>
      <c r="M374" s="1"/>
    </row>
    <row r="375" spans="1:13" ht="26.25" customHeight="1" x14ac:dyDescent="0.25">
      <c r="A375" s="126"/>
      <c r="B375" s="1"/>
      <c r="E375" s="1"/>
      <c r="F375" s="1"/>
      <c r="H375" s="1"/>
      <c r="K375" s="1"/>
      <c r="M375" s="1"/>
    </row>
    <row r="376" spans="1:13" ht="26.25" customHeight="1" x14ac:dyDescent="0.25">
      <c r="A376" s="126"/>
      <c r="B376" s="1"/>
      <c r="E376" s="1"/>
      <c r="F376" s="1"/>
      <c r="H376" s="1"/>
      <c r="K376" s="1"/>
      <c r="M376" s="1"/>
    </row>
    <row r="377" spans="1:13" ht="26.25" customHeight="1" x14ac:dyDescent="0.25">
      <c r="A377" s="126"/>
      <c r="B377" s="1"/>
      <c r="E377" s="1"/>
      <c r="F377" s="1"/>
      <c r="H377" s="1"/>
      <c r="K377" s="1"/>
      <c r="M377" s="1"/>
    </row>
    <row r="378" spans="1:13" ht="26.25" customHeight="1" x14ac:dyDescent="0.25">
      <c r="A378" s="126"/>
      <c r="B378" s="1"/>
      <c r="E378" s="1"/>
      <c r="F378" s="1"/>
      <c r="H378" s="1"/>
      <c r="K378" s="1"/>
      <c r="M378" s="1"/>
    </row>
    <row r="379" spans="1:13" ht="26.25" customHeight="1" x14ac:dyDescent="0.25">
      <c r="A379" s="126"/>
      <c r="B379" s="1"/>
      <c r="E379" s="1"/>
      <c r="F379" s="1"/>
      <c r="H379" s="1"/>
      <c r="K379" s="1"/>
      <c r="M379" s="1"/>
    </row>
    <row r="380" spans="1:13" ht="26.25" customHeight="1" x14ac:dyDescent="0.25">
      <c r="A380" s="126"/>
      <c r="B380" s="1"/>
      <c r="E380" s="1"/>
      <c r="F380" s="1"/>
      <c r="H380" s="1"/>
      <c r="K380" s="1"/>
      <c r="M380" s="1"/>
    </row>
    <row r="381" spans="1:13" ht="26.25" customHeight="1" x14ac:dyDescent="0.25">
      <c r="A381" s="126"/>
      <c r="B381" s="1"/>
      <c r="E381" s="1"/>
      <c r="F381" s="1"/>
      <c r="H381" s="1"/>
      <c r="K381" s="1"/>
      <c r="M381" s="1"/>
    </row>
    <row r="382" spans="1:13" ht="26.25" customHeight="1" x14ac:dyDescent="0.25">
      <c r="A382" s="126"/>
      <c r="B382" s="1"/>
      <c r="E382" s="1"/>
      <c r="F382" s="1"/>
      <c r="H382" s="1"/>
      <c r="K382" s="1"/>
      <c r="M382" s="1"/>
    </row>
    <row r="383" spans="1:13" ht="26.25" customHeight="1" x14ac:dyDescent="0.25">
      <c r="A383" s="126"/>
      <c r="B383" s="1"/>
      <c r="E383" s="1"/>
      <c r="F383" s="1"/>
      <c r="H383" s="1"/>
      <c r="K383" s="1"/>
      <c r="M383" s="1"/>
    </row>
    <row r="384" spans="1:13" ht="26.25" customHeight="1" x14ac:dyDescent="0.25">
      <c r="A384" s="126"/>
      <c r="B384" s="1"/>
      <c r="E384" s="1"/>
      <c r="F384" s="1"/>
      <c r="H384" s="1"/>
      <c r="K384" s="1"/>
      <c r="M384" s="1"/>
    </row>
    <row r="385" spans="1:13" ht="26.25" customHeight="1" x14ac:dyDescent="0.25">
      <c r="A385" s="126"/>
      <c r="B385" s="1"/>
      <c r="E385" s="1"/>
      <c r="F385" s="1"/>
      <c r="H385" s="1"/>
      <c r="K385" s="1"/>
      <c r="M385" s="1"/>
    </row>
    <row r="386" spans="1:13" ht="26.25" customHeight="1" x14ac:dyDescent="0.25">
      <c r="A386" s="126"/>
      <c r="B386" s="1"/>
      <c r="E386" s="1"/>
      <c r="F386" s="1"/>
      <c r="H386" s="1"/>
      <c r="K386" s="1"/>
      <c r="M386" s="1"/>
    </row>
    <row r="387" spans="1:13" ht="26.25" customHeight="1" x14ac:dyDescent="0.25">
      <c r="A387" s="126"/>
      <c r="B387" s="1"/>
      <c r="E387" s="1"/>
      <c r="F387" s="1"/>
      <c r="H387" s="1"/>
      <c r="K387" s="1"/>
      <c r="M387" s="1"/>
    </row>
    <row r="388" spans="1:13" ht="26.25" customHeight="1" x14ac:dyDescent="0.25">
      <c r="A388" s="126"/>
      <c r="B388" s="1"/>
      <c r="E388" s="1"/>
      <c r="F388" s="1"/>
      <c r="H388" s="1"/>
      <c r="K388" s="1"/>
      <c r="M388" s="1"/>
    </row>
    <row r="389" spans="1:13" ht="26.25" customHeight="1" x14ac:dyDescent="0.25">
      <c r="A389" s="126"/>
      <c r="B389" s="1"/>
      <c r="E389" s="1"/>
      <c r="F389" s="1"/>
      <c r="H389" s="1"/>
      <c r="K389" s="1"/>
      <c r="M389" s="1"/>
    </row>
    <row r="390" spans="1:13" ht="26.25" customHeight="1" x14ac:dyDescent="0.25">
      <c r="A390" s="126"/>
      <c r="B390" s="1"/>
      <c r="E390" s="1"/>
      <c r="F390" s="1"/>
      <c r="H390" s="1"/>
      <c r="K390" s="1"/>
      <c r="M390" s="1"/>
    </row>
    <row r="391" spans="1:13" ht="26.25" customHeight="1" x14ac:dyDescent="0.25">
      <c r="A391" s="126"/>
      <c r="B391" s="1"/>
      <c r="E391" s="1"/>
      <c r="F391" s="1"/>
      <c r="H391" s="1"/>
      <c r="K391" s="1"/>
      <c r="M391" s="1"/>
    </row>
    <row r="392" spans="1:13" ht="26.25" customHeight="1" x14ac:dyDescent="0.25">
      <c r="A392" s="126"/>
      <c r="B392" s="1"/>
      <c r="E392" s="1"/>
      <c r="F392" s="1"/>
      <c r="H392" s="1"/>
      <c r="K392" s="1"/>
      <c r="M392" s="1"/>
    </row>
    <row r="393" spans="1:13" ht="26.25" customHeight="1" x14ac:dyDescent="0.25">
      <c r="A393" s="126"/>
      <c r="B393" s="1"/>
      <c r="E393" s="1"/>
      <c r="F393" s="1"/>
      <c r="H393" s="1"/>
      <c r="K393" s="1"/>
      <c r="M393" s="1"/>
    </row>
    <row r="394" spans="1:13" ht="26.25" customHeight="1" x14ac:dyDescent="0.25">
      <c r="A394" s="126"/>
      <c r="B394" s="1"/>
      <c r="E394" s="1"/>
      <c r="F394" s="1"/>
      <c r="H394" s="1"/>
      <c r="K394" s="1"/>
      <c r="M394" s="1"/>
    </row>
    <row r="395" spans="1:13" ht="26.25" customHeight="1" x14ac:dyDescent="0.25">
      <c r="A395" s="126"/>
      <c r="B395" s="1"/>
      <c r="E395" s="1"/>
      <c r="F395" s="1"/>
      <c r="H395" s="1"/>
      <c r="K395" s="1"/>
      <c r="M395" s="1"/>
    </row>
    <row r="396" spans="1:13" ht="26.25" customHeight="1" x14ac:dyDescent="0.25">
      <c r="A396" s="126"/>
      <c r="B396" s="1"/>
      <c r="E396" s="1"/>
      <c r="F396" s="1"/>
      <c r="H396" s="1"/>
      <c r="K396" s="1"/>
      <c r="M396" s="1"/>
    </row>
    <row r="397" spans="1:13" ht="26.25" customHeight="1" x14ac:dyDescent="0.25">
      <c r="A397" s="126"/>
      <c r="B397" s="1"/>
      <c r="E397" s="1"/>
      <c r="F397" s="1"/>
      <c r="H397" s="1"/>
      <c r="K397" s="1"/>
      <c r="M397" s="1"/>
    </row>
    <row r="398" spans="1:13" ht="26.25" customHeight="1" x14ac:dyDescent="0.25">
      <c r="A398" s="126"/>
      <c r="B398" s="1"/>
      <c r="E398" s="1"/>
      <c r="F398" s="1"/>
      <c r="H398" s="1"/>
      <c r="K398" s="1"/>
      <c r="M398" s="1"/>
    </row>
    <row r="399" spans="1:13" ht="26.25" customHeight="1" x14ac:dyDescent="0.25">
      <c r="A399" s="126"/>
      <c r="B399" s="1"/>
      <c r="E399" s="1"/>
      <c r="F399" s="1"/>
      <c r="H399" s="1"/>
      <c r="K399" s="1"/>
      <c r="M399" s="1"/>
    </row>
    <row r="400" spans="1:13" ht="26.25" customHeight="1" x14ac:dyDescent="0.25">
      <c r="A400" s="126"/>
      <c r="B400" s="1"/>
      <c r="E400" s="1"/>
      <c r="F400" s="1"/>
      <c r="H400" s="1"/>
      <c r="K400" s="1"/>
      <c r="M400" s="1"/>
    </row>
    <row r="401" spans="1:13" ht="26.25" customHeight="1" x14ac:dyDescent="0.25">
      <c r="A401" s="126"/>
      <c r="B401" s="1"/>
      <c r="E401" s="1"/>
      <c r="F401" s="1"/>
      <c r="H401" s="1"/>
      <c r="K401" s="1"/>
      <c r="M401" s="1"/>
    </row>
    <row r="402" spans="1:13" ht="26.25" customHeight="1" x14ac:dyDescent="0.25">
      <c r="A402" s="126"/>
      <c r="B402" s="1"/>
      <c r="E402" s="1"/>
      <c r="F402" s="1"/>
      <c r="H402" s="1"/>
      <c r="K402" s="1"/>
      <c r="M402" s="1"/>
    </row>
    <row r="403" spans="1:13" ht="26.25" customHeight="1" x14ac:dyDescent="0.25">
      <c r="A403" s="126"/>
      <c r="B403" s="1"/>
      <c r="E403" s="1"/>
      <c r="F403" s="1"/>
      <c r="H403" s="1"/>
      <c r="K403" s="1"/>
      <c r="M403" s="1"/>
    </row>
    <row r="404" spans="1:13" ht="26.25" customHeight="1" x14ac:dyDescent="0.25">
      <c r="A404" s="126"/>
      <c r="B404" s="1"/>
      <c r="E404" s="1"/>
      <c r="F404" s="1"/>
      <c r="H404" s="1"/>
      <c r="K404" s="1"/>
      <c r="M404" s="1"/>
    </row>
    <row r="405" spans="1:13" ht="26.25" customHeight="1" x14ac:dyDescent="0.25">
      <c r="A405" s="126"/>
      <c r="B405" s="1"/>
      <c r="E405" s="1"/>
      <c r="F405" s="1"/>
      <c r="H405" s="1"/>
      <c r="K405" s="1"/>
      <c r="M405" s="1"/>
    </row>
    <row r="406" spans="1:13" ht="26.25" customHeight="1" x14ac:dyDescent="0.25">
      <c r="A406" s="126"/>
      <c r="B406" s="1"/>
      <c r="E406" s="1"/>
      <c r="F406" s="1"/>
      <c r="H406" s="1"/>
      <c r="K406" s="1"/>
      <c r="M406" s="1"/>
    </row>
    <row r="407" spans="1:13" ht="26.25" customHeight="1" x14ac:dyDescent="0.25">
      <c r="A407" s="126"/>
      <c r="B407" s="1"/>
      <c r="E407" s="1"/>
      <c r="F407" s="1"/>
      <c r="H407" s="1"/>
      <c r="K407" s="1"/>
      <c r="M407" s="1"/>
    </row>
    <row r="408" spans="1:13" ht="26.25" customHeight="1" x14ac:dyDescent="0.25">
      <c r="A408" s="126"/>
      <c r="B408" s="1"/>
      <c r="E408" s="1"/>
      <c r="F408" s="1"/>
      <c r="H408" s="1"/>
      <c r="K408" s="1"/>
      <c r="M408" s="1"/>
    </row>
    <row r="409" spans="1:13" ht="26.25" customHeight="1" x14ac:dyDescent="0.25">
      <c r="A409" s="126"/>
      <c r="B409" s="1"/>
      <c r="E409" s="1"/>
      <c r="F409" s="1"/>
      <c r="H409" s="1"/>
      <c r="K409" s="1"/>
      <c r="M409" s="1"/>
    </row>
    <row r="410" spans="1:13" ht="26.25" customHeight="1" x14ac:dyDescent="0.25">
      <c r="A410" s="126"/>
      <c r="B410" s="1"/>
      <c r="E410" s="1"/>
      <c r="F410" s="1"/>
      <c r="H410" s="1"/>
      <c r="K410" s="1"/>
      <c r="M410" s="1"/>
    </row>
    <row r="411" spans="1:13" ht="26.25" customHeight="1" x14ac:dyDescent="0.25">
      <c r="A411" s="126"/>
      <c r="B411" s="1"/>
      <c r="E411" s="1"/>
      <c r="F411" s="1"/>
      <c r="H411" s="1"/>
      <c r="K411" s="1"/>
      <c r="M411" s="1"/>
    </row>
    <row r="412" spans="1:13" ht="26.25" customHeight="1" x14ac:dyDescent="0.25">
      <c r="A412" s="126"/>
      <c r="B412" s="1"/>
      <c r="E412" s="1"/>
      <c r="F412" s="1"/>
      <c r="H412" s="1"/>
      <c r="K412" s="1"/>
      <c r="M412" s="1"/>
    </row>
    <row r="413" spans="1:13" ht="26.25" customHeight="1" x14ac:dyDescent="0.25">
      <c r="A413" s="126"/>
      <c r="B413" s="1"/>
      <c r="E413" s="1"/>
      <c r="F413" s="1"/>
      <c r="H413" s="1"/>
      <c r="K413" s="1"/>
      <c r="M413" s="1"/>
    </row>
    <row r="414" spans="1:13" ht="26.25" customHeight="1" x14ac:dyDescent="0.25">
      <c r="A414" s="126"/>
      <c r="B414" s="1"/>
      <c r="E414" s="1"/>
      <c r="F414" s="1"/>
      <c r="H414" s="1"/>
      <c r="K414" s="1"/>
      <c r="M414" s="1"/>
    </row>
    <row r="415" spans="1:13" ht="26.25" customHeight="1" x14ac:dyDescent="0.25">
      <c r="A415" s="126"/>
      <c r="B415" s="1"/>
      <c r="E415" s="1"/>
      <c r="F415" s="1"/>
      <c r="H415" s="1"/>
      <c r="K415" s="1"/>
      <c r="M415" s="1"/>
    </row>
    <row r="416" spans="1:13" ht="26.25" customHeight="1" x14ac:dyDescent="0.25">
      <c r="A416" s="126"/>
      <c r="B416" s="1"/>
      <c r="E416" s="1"/>
      <c r="F416" s="1"/>
      <c r="H416" s="1"/>
      <c r="K416" s="1"/>
      <c r="M416" s="1"/>
    </row>
    <row r="417" spans="1:13" ht="26.25" customHeight="1" x14ac:dyDescent="0.25">
      <c r="A417" s="126"/>
      <c r="B417" s="1"/>
      <c r="E417" s="1"/>
      <c r="F417" s="1"/>
      <c r="H417" s="1"/>
      <c r="K417" s="1"/>
      <c r="M417" s="1"/>
    </row>
    <row r="418" spans="1:13" ht="26.25" customHeight="1" x14ac:dyDescent="0.25">
      <c r="A418" s="126"/>
      <c r="B418" s="1"/>
      <c r="E418" s="1"/>
      <c r="F418" s="1"/>
      <c r="H418" s="1"/>
      <c r="K418" s="1"/>
      <c r="M418" s="1"/>
    </row>
    <row r="419" spans="1:13" ht="26.25" customHeight="1" x14ac:dyDescent="0.25">
      <c r="A419" s="126"/>
      <c r="B419" s="1"/>
      <c r="E419" s="1"/>
      <c r="F419" s="1"/>
      <c r="H419" s="1"/>
      <c r="K419" s="1"/>
      <c r="M419" s="1"/>
    </row>
    <row r="420" spans="1:13" ht="26.25" customHeight="1" x14ac:dyDescent="0.25">
      <c r="A420" s="126"/>
      <c r="B420" s="1"/>
      <c r="E420" s="1"/>
      <c r="F420" s="1"/>
      <c r="H420" s="1"/>
      <c r="K420" s="1"/>
      <c r="M420" s="1"/>
    </row>
    <row r="421" spans="1:13" ht="26.25" customHeight="1" x14ac:dyDescent="0.25">
      <c r="A421" s="126"/>
      <c r="B421" s="1"/>
      <c r="E421" s="1"/>
      <c r="F421" s="1"/>
      <c r="H421" s="1"/>
      <c r="K421" s="1"/>
      <c r="M421" s="1"/>
    </row>
    <row r="422" spans="1:13" ht="26.25" customHeight="1" x14ac:dyDescent="0.25">
      <c r="A422" s="126"/>
      <c r="B422" s="1"/>
      <c r="E422" s="1"/>
      <c r="F422" s="1"/>
      <c r="H422" s="1"/>
      <c r="K422" s="1"/>
      <c r="M422" s="1"/>
    </row>
    <row r="423" spans="1:13" ht="26.25" customHeight="1" x14ac:dyDescent="0.25">
      <c r="A423" s="126"/>
      <c r="B423" s="1"/>
      <c r="E423" s="1"/>
      <c r="F423" s="1"/>
      <c r="H423" s="1"/>
      <c r="K423" s="1"/>
      <c r="M423" s="1"/>
    </row>
    <row r="424" spans="1:13" ht="26.25" customHeight="1" x14ac:dyDescent="0.25">
      <c r="A424" s="126"/>
      <c r="B424" s="1"/>
      <c r="E424" s="1"/>
      <c r="F424" s="1"/>
      <c r="H424" s="1"/>
      <c r="K424" s="1"/>
      <c r="M424" s="1"/>
    </row>
    <row r="425" spans="1:13" ht="26.25" customHeight="1" x14ac:dyDescent="0.25">
      <c r="A425" s="126"/>
      <c r="B425" s="1"/>
      <c r="E425" s="1"/>
      <c r="F425" s="1"/>
      <c r="H425" s="1"/>
      <c r="K425" s="1"/>
      <c r="M425" s="1"/>
    </row>
    <row r="426" spans="1:13" ht="26.25" customHeight="1" x14ac:dyDescent="0.25">
      <c r="A426" s="126"/>
      <c r="B426" s="1"/>
      <c r="E426" s="1"/>
      <c r="F426" s="1"/>
      <c r="H426" s="1"/>
      <c r="K426" s="1"/>
      <c r="M426" s="1"/>
    </row>
    <row r="427" spans="1:13" ht="26.25" customHeight="1" x14ac:dyDescent="0.25">
      <c r="A427" s="126"/>
      <c r="B427" s="1"/>
      <c r="E427" s="1"/>
      <c r="F427" s="1"/>
      <c r="H427" s="1"/>
      <c r="K427" s="1"/>
      <c r="M427" s="1"/>
    </row>
    <row r="428" spans="1:13" ht="26.25" customHeight="1" x14ac:dyDescent="0.25">
      <c r="A428" s="126"/>
      <c r="B428" s="1"/>
      <c r="E428" s="1"/>
      <c r="F428" s="1"/>
      <c r="H428" s="1"/>
      <c r="K428" s="1"/>
      <c r="M428" s="1"/>
    </row>
    <row r="429" spans="1:13" ht="26.25" customHeight="1" x14ac:dyDescent="0.25">
      <c r="A429" s="126"/>
      <c r="B429" s="1"/>
      <c r="E429" s="1"/>
      <c r="F429" s="1"/>
      <c r="H429" s="1"/>
      <c r="K429" s="1"/>
      <c r="M429" s="1"/>
    </row>
    <row r="430" spans="1:13" ht="26.25" customHeight="1" x14ac:dyDescent="0.25">
      <c r="A430" s="126"/>
      <c r="B430" s="1"/>
      <c r="E430" s="1"/>
      <c r="F430" s="1"/>
      <c r="H430" s="1"/>
      <c r="K430" s="1"/>
      <c r="M430" s="1"/>
    </row>
    <row r="431" spans="1:13" ht="26.25" customHeight="1" x14ac:dyDescent="0.25">
      <c r="A431" s="126"/>
      <c r="B431" s="1"/>
      <c r="E431" s="1"/>
      <c r="F431" s="1"/>
      <c r="H431" s="1"/>
      <c r="K431" s="1"/>
      <c r="M431" s="1"/>
    </row>
    <row r="432" spans="1:13" ht="26.25" customHeight="1" x14ac:dyDescent="0.25">
      <c r="A432" s="126"/>
      <c r="B432" s="1"/>
      <c r="E432" s="1"/>
      <c r="F432" s="1"/>
      <c r="H432" s="1"/>
      <c r="K432" s="1"/>
      <c r="M432" s="1"/>
    </row>
    <row r="433" spans="1:13" ht="26.25" customHeight="1" x14ac:dyDescent="0.25">
      <c r="A433" s="126"/>
      <c r="B433" s="1"/>
      <c r="E433" s="1"/>
      <c r="F433" s="1"/>
      <c r="H433" s="1"/>
      <c r="K433" s="1"/>
      <c r="M433" s="1"/>
    </row>
    <row r="434" spans="1:13" ht="26.25" customHeight="1" x14ac:dyDescent="0.25">
      <c r="A434" s="126"/>
      <c r="B434" s="1"/>
      <c r="E434" s="1"/>
      <c r="F434" s="1"/>
      <c r="H434" s="1"/>
      <c r="K434" s="1"/>
      <c r="M434" s="1"/>
    </row>
    <row r="435" spans="1:13" ht="26.25" customHeight="1" x14ac:dyDescent="0.25">
      <c r="A435" s="126"/>
      <c r="B435" s="1"/>
      <c r="E435" s="1"/>
      <c r="F435" s="1"/>
      <c r="H435" s="1"/>
      <c r="K435" s="1"/>
      <c r="M435" s="1"/>
    </row>
    <row r="436" spans="1:13" ht="26.25" customHeight="1" x14ac:dyDescent="0.25">
      <c r="A436" s="126"/>
      <c r="B436" s="1"/>
      <c r="E436" s="1"/>
      <c r="F436" s="1"/>
      <c r="H436" s="1"/>
      <c r="K436" s="1"/>
      <c r="M436" s="1"/>
    </row>
    <row r="437" spans="1:13" ht="26.25" customHeight="1" x14ac:dyDescent="0.25">
      <c r="A437" s="126"/>
      <c r="B437" s="1"/>
      <c r="E437" s="1"/>
      <c r="F437" s="1"/>
      <c r="H437" s="1"/>
      <c r="K437" s="1"/>
      <c r="M437" s="1"/>
    </row>
    <row r="438" spans="1:13" ht="26.25" customHeight="1" x14ac:dyDescent="0.25">
      <c r="A438" s="126"/>
      <c r="B438" s="1"/>
      <c r="E438" s="1"/>
      <c r="F438" s="1"/>
      <c r="H438" s="1"/>
      <c r="K438" s="1"/>
      <c r="M438" s="1"/>
    </row>
    <row r="439" spans="1:13" ht="26.25" customHeight="1" x14ac:dyDescent="0.25">
      <c r="A439" s="126"/>
      <c r="B439" s="1"/>
      <c r="E439" s="1"/>
      <c r="F439" s="1"/>
      <c r="H439" s="1"/>
      <c r="K439" s="1"/>
      <c r="M439" s="1"/>
    </row>
    <row r="440" spans="1:13" ht="26.25" customHeight="1" x14ac:dyDescent="0.25">
      <c r="A440" s="126"/>
      <c r="B440" s="1"/>
      <c r="E440" s="1"/>
      <c r="F440" s="1"/>
      <c r="H440" s="1"/>
      <c r="K440" s="1"/>
      <c r="M440" s="1"/>
    </row>
    <row r="441" spans="1:13" ht="26.25" customHeight="1" x14ac:dyDescent="0.25">
      <c r="A441" s="126"/>
      <c r="B441" s="1"/>
      <c r="E441" s="1"/>
      <c r="F441" s="1"/>
      <c r="H441" s="1"/>
      <c r="K441" s="1"/>
      <c r="M441" s="1"/>
    </row>
    <row r="442" spans="1:13" ht="26.25" customHeight="1" x14ac:dyDescent="0.25">
      <c r="A442" s="126"/>
      <c r="B442" s="1"/>
      <c r="E442" s="1"/>
      <c r="F442" s="1"/>
      <c r="H442" s="1"/>
      <c r="K442" s="1"/>
      <c r="M442" s="1"/>
    </row>
    <row r="443" spans="1:13" ht="26.25" customHeight="1" x14ac:dyDescent="0.25">
      <c r="A443" s="126"/>
      <c r="B443" s="1"/>
      <c r="E443" s="1"/>
      <c r="F443" s="1"/>
      <c r="H443" s="1"/>
      <c r="K443" s="1"/>
      <c r="M443" s="1"/>
    </row>
    <row r="444" spans="1:13" ht="26.25" customHeight="1" x14ac:dyDescent="0.25">
      <c r="A444" s="126"/>
      <c r="B444" s="1"/>
      <c r="E444" s="1"/>
      <c r="F444" s="1"/>
      <c r="H444" s="1"/>
      <c r="K444" s="1"/>
      <c r="M444" s="1"/>
    </row>
    <row r="445" spans="1:13" ht="26.25" customHeight="1" x14ac:dyDescent="0.25">
      <c r="A445" s="126"/>
      <c r="B445" s="1"/>
      <c r="E445" s="1"/>
      <c r="F445" s="1"/>
      <c r="H445" s="1"/>
      <c r="K445" s="1"/>
      <c r="M445" s="1"/>
    </row>
    <row r="446" spans="1:13" ht="26.25" customHeight="1" x14ac:dyDescent="0.25">
      <c r="A446" s="126"/>
      <c r="B446" s="1"/>
      <c r="E446" s="1"/>
      <c r="F446" s="1"/>
      <c r="H446" s="1"/>
      <c r="K446" s="1"/>
      <c r="M446" s="1"/>
    </row>
    <row r="447" spans="1:13" ht="26.25" customHeight="1" x14ac:dyDescent="0.25">
      <c r="A447" s="126"/>
      <c r="B447" s="1"/>
      <c r="E447" s="1"/>
      <c r="F447" s="1"/>
      <c r="H447" s="1"/>
      <c r="K447" s="1"/>
      <c r="M447" s="1"/>
    </row>
    <row r="448" spans="1:13" ht="26.25" customHeight="1" x14ac:dyDescent="0.25">
      <c r="A448" s="126"/>
      <c r="B448" s="1"/>
      <c r="E448" s="1"/>
      <c r="F448" s="1"/>
      <c r="H448" s="1"/>
      <c r="K448" s="1"/>
      <c r="M448" s="1"/>
    </row>
    <row r="449" spans="1:13" ht="26.25" customHeight="1" x14ac:dyDescent="0.25">
      <c r="A449" s="126"/>
      <c r="B449" s="1"/>
      <c r="E449" s="1"/>
      <c r="F449" s="1"/>
      <c r="H449" s="1"/>
      <c r="K449" s="1"/>
      <c r="M449" s="1"/>
    </row>
    <row r="450" spans="1:13" ht="26.25" customHeight="1" x14ac:dyDescent="0.25">
      <c r="A450" s="126"/>
      <c r="B450" s="1"/>
      <c r="E450" s="1"/>
      <c r="F450" s="1"/>
      <c r="H450" s="1"/>
      <c r="K450" s="1"/>
      <c r="M450" s="1"/>
    </row>
    <row r="451" spans="1:13" ht="26.25" customHeight="1" x14ac:dyDescent="0.25">
      <c r="A451" s="126"/>
      <c r="B451" s="1"/>
      <c r="E451" s="1"/>
      <c r="F451" s="1"/>
      <c r="H451" s="1"/>
      <c r="K451" s="1"/>
      <c r="M451" s="1"/>
    </row>
    <row r="452" spans="1:13" ht="26.25" customHeight="1" x14ac:dyDescent="0.25">
      <c r="A452" s="126"/>
      <c r="B452" s="1"/>
      <c r="E452" s="1"/>
      <c r="F452" s="1"/>
      <c r="H452" s="1"/>
      <c r="K452" s="1"/>
      <c r="M452" s="1"/>
    </row>
    <row r="453" spans="1:13" ht="26.25" customHeight="1" x14ac:dyDescent="0.25">
      <c r="A453" s="126"/>
      <c r="B453" s="1"/>
      <c r="E453" s="1"/>
      <c r="F453" s="1"/>
      <c r="H453" s="1"/>
      <c r="K453" s="1"/>
      <c r="M453" s="1"/>
    </row>
    <row r="454" spans="1:13" ht="26.25" customHeight="1" x14ac:dyDescent="0.25">
      <c r="A454" s="126"/>
      <c r="B454" s="1"/>
      <c r="E454" s="1"/>
      <c r="F454" s="1"/>
      <c r="H454" s="1"/>
      <c r="K454" s="1"/>
      <c r="M454" s="1"/>
    </row>
    <row r="455" spans="1:13" ht="26.25" customHeight="1" x14ac:dyDescent="0.25">
      <c r="A455" s="126"/>
      <c r="B455" s="1"/>
      <c r="E455" s="1"/>
      <c r="F455" s="1"/>
      <c r="H455" s="1"/>
      <c r="K455" s="1"/>
      <c r="M455" s="1"/>
    </row>
    <row r="456" spans="1:13" ht="26.25" customHeight="1" x14ac:dyDescent="0.25">
      <c r="A456" s="126"/>
      <c r="B456" s="1"/>
      <c r="E456" s="1"/>
      <c r="F456" s="1"/>
      <c r="H456" s="1"/>
      <c r="K456" s="1"/>
      <c r="M456" s="1"/>
    </row>
    <row r="457" spans="1:13" ht="26.25" customHeight="1" x14ac:dyDescent="0.25">
      <c r="A457" s="126"/>
      <c r="B457" s="1"/>
      <c r="E457" s="1"/>
      <c r="F457" s="1"/>
      <c r="H457" s="1"/>
      <c r="K457" s="1"/>
      <c r="M457" s="1"/>
    </row>
    <row r="458" spans="1:13" ht="26.25" customHeight="1" x14ac:dyDescent="0.25">
      <c r="A458" s="126"/>
      <c r="B458" s="1"/>
      <c r="E458" s="1"/>
      <c r="F458" s="1"/>
      <c r="H458" s="1"/>
      <c r="K458" s="1"/>
      <c r="M458" s="1"/>
    </row>
    <row r="459" spans="1:13" ht="26.25" customHeight="1" x14ac:dyDescent="0.25">
      <c r="A459" s="126"/>
      <c r="B459" s="1"/>
      <c r="E459" s="1"/>
      <c r="F459" s="1"/>
      <c r="H459" s="1"/>
      <c r="K459" s="1"/>
      <c r="M459" s="1"/>
    </row>
    <row r="460" spans="1:13" ht="26.25" customHeight="1" x14ac:dyDescent="0.25">
      <c r="A460" s="126"/>
      <c r="B460" s="1"/>
      <c r="E460" s="1"/>
      <c r="F460" s="1"/>
      <c r="H460" s="1"/>
      <c r="K460" s="1"/>
      <c r="M460" s="1"/>
    </row>
    <row r="461" spans="1:13" ht="26.25" customHeight="1" x14ac:dyDescent="0.25">
      <c r="A461" s="126"/>
      <c r="B461" s="1"/>
      <c r="E461" s="1"/>
      <c r="F461" s="1"/>
      <c r="H461" s="1"/>
      <c r="K461" s="1"/>
      <c r="M461" s="1"/>
    </row>
    <row r="462" spans="1:13" ht="26.25" customHeight="1" x14ac:dyDescent="0.25">
      <c r="A462" s="126"/>
      <c r="B462" s="1"/>
      <c r="E462" s="1"/>
      <c r="F462" s="1"/>
      <c r="H462" s="1"/>
      <c r="K462" s="1"/>
      <c r="M462" s="1"/>
    </row>
    <row r="463" spans="1:13" ht="26.25" customHeight="1" x14ac:dyDescent="0.25">
      <c r="A463" s="126"/>
      <c r="B463" s="1"/>
      <c r="E463" s="1"/>
      <c r="F463" s="1"/>
      <c r="H463" s="1"/>
      <c r="K463" s="1"/>
      <c r="M463" s="1"/>
    </row>
    <row r="464" spans="1:13" ht="26.25" customHeight="1" x14ac:dyDescent="0.25">
      <c r="A464" s="126"/>
      <c r="B464" s="1"/>
      <c r="E464" s="1"/>
      <c r="F464" s="1"/>
      <c r="H464" s="1"/>
      <c r="K464" s="1"/>
      <c r="M464" s="1"/>
    </row>
    <row r="465" spans="1:13" ht="26.25" customHeight="1" x14ac:dyDescent="0.25">
      <c r="A465" s="126"/>
      <c r="B465" s="1"/>
      <c r="E465" s="1"/>
      <c r="F465" s="1"/>
      <c r="H465" s="1"/>
      <c r="K465" s="1"/>
      <c r="M465" s="1"/>
    </row>
    <row r="466" spans="1:13" ht="26.25" customHeight="1" x14ac:dyDescent="0.25">
      <c r="A466" s="126"/>
      <c r="B466" s="1"/>
      <c r="E466" s="1"/>
      <c r="F466" s="1"/>
      <c r="H466" s="1"/>
      <c r="K466" s="1"/>
      <c r="M466" s="1"/>
    </row>
    <row r="467" spans="1:13" ht="26.25" customHeight="1" x14ac:dyDescent="0.25">
      <c r="A467" s="126"/>
      <c r="B467" s="1"/>
      <c r="E467" s="1"/>
      <c r="F467" s="1"/>
      <c r="H467" s="1"/>
      <c r="K467" s="1"/>
      <c r="M467" s="1"/>
    </row>
    <row r="468" spans="1:13" ht="26.25" customHeight="1" x14ac:dyDescent="0.25">
      <c r="A468" s="126"/>
      <c r="B468" s="1"/>
      <c r="E468" s="1"/>
      <c r="F468" s="1"/>
      <c r="H468" s="1"/>
      <c r="K468" s="1"/>
      <c r="M468" s="1"/>
    </row>
    <row r="469" spans="1:13" ht="26.25" customHeight="1" x14ac:dyDescent="0.25">
      <c r="A469" s="126"/>
      <c r="B469" s="1"/>
      <c r="E469" s="1"/>
      <c r="F469" s="1"/>
      <c r="H469" s="1"/>
      <c r="K469" s="1"/>
      <c r="M469" s="1"/>
    </row>
    <row r="470" spans="1:13" ht="26.25" customHeight="1" x14ac:dyDescent="0.25">
      <c r="A470" s="126"/>
      <c r="B470" s="1"/>
      <c r="E470" s="1"/>
      <c r="F470" s="1"/>
      <c r="H470" s="1"/>
      <c r="K470" s="1"/>
      <c r="M470" s="1"/>
    </row>
    <row r="471" spans="1:13" ht="26.25" customHeight="1" x14ac:dyDescent="0.25">
      <c r="A471" s="126"/>
      <c r="B471" s="1"/>
      <c r="E471" s="1"/>
      <c r="F471" s="1"/>
      <c r="H471" s="1"/>
      <c r="K471" s="1"/>
      <c r="M471" s="1"/>
    </row>
    <row r="472" spans="1:13" ht="26.25" customHeight="1" x14ac:dyDescent="0.25">
      <c r="A472" s="126"/>
      <c r="B472" s="1"/>
      <c r="E472" s="1"/>
      <c r="F472" s="1"/>
      <c r="H472" s="1"/>
      <c r="K472" s="1"/>
      <c r="M472" s="1"/>
    </row>
    <row r="473" spans="1:13" ht="26.25" customHeight="1" x14ac:dyDescent="0.25">
      <c r="A473" s="126"/>
      <c r="B473" s="1"/>
      <c r="E473" s="1"/>
      <c r="F473" s="1"/>
      <c r="H473" s="1"/>
      <c r="K473" s="1"/>
      <c r="M473" s="1"/>
    </row>
    <row r="474" spans="1:13" ht="26.25" customHeight="1" x14ac:dyDescent="0.25">
      <c r="A474" s="126"/>
      <c r="B474" s="1"/>
      <c r="E474" s="1"/>
      <c r="F474" s="1"/>
      <c r="H474" s="1"/>
      <c r="K474" s="1"/>
      <c r="M474" s="1"/>
    </row>
    <row r="475" spans="1:13" ht="26.25" customHeight="1" x14ac:dyDescent="0.25">
      <c r="A475" s="126"/>
      <c r="B475" s="1"/>
      <c r="E475" s="1"/>
      <c r="F475" s="1"/>
      <c r="H475" s="1"/>
      <c r="K475" s="1"/>
      <c r="M475" s="1"/>
    </row>
    <row r="476" spans="1:13" ht="26.25" customHeight="1" x14ac:dyDescent="0.25">
      <c r="A476" s="126"/>
      <c r="B476" s="1"/>
      <c r="E476" s="1"/>
      <c r="F476" s="1"/>
      <c r="H476" s="1"/>
      <c r="K476" s="1"/>
      <c r="M476" s="1"/>
    </row>
    <row r="477" spans="1:13" ht="26.25" customHeight="1" x14ac:dyDescent="0.25">
      <c r="A477" s="126"/>
      <c r="B477" s="1"/>
      <c r="E477" s="1"/>
      <c r="F477" s="1"/>
      <c r="H477" s="1"/>
      <c r="K477" s="1"/>
      <c r="M477" s="1"/>
    </row>
    <row r="478" spans="1:13" ht="26.25" customHeight="1" x14ac:dyDescent="0.25">
      <c r="A478" s="126"/>
      <c r="B478" s="1"/>
      <c r="E478" s="1"/>
      <c r="F478" s="1"/>
      <c r="H478" s="1"/>
      <c r="K478" s="1"/>
      <c r="M478" s="1"/>
    </row>
    <row r="479" spans="1:13" ht="26.25" customHeight="1" x14ac:dyDescent="0.25">
      <c r="A479" s="126"/>
      <c r="B479" s="1"/>
      <c r="E479" s="1"/>
      <c r="F479" s="1"/>
      <c r="H479" s="1"/>
      <c r="K479" s="1"/>
      <c r="M479" s="1"/>
    </row>
    <row r="480" spans="1:13" ht="26.25" customHeight="1" x14ac:dyDescent="0.25">
      <c r="A480" s="126"/>
      <c r="B480" s="1"/>
      <c r="E480" s="1"/>
      <c r="F480" s="1"/>
      <c r="H480" s="1"/>
      <c r="K480" s="1"/>
      <c r="M480" s="1"/>
    </row>
    <row r="481" spans="1:13" ht="26.25" customHeight="1" x14ac:dyDescent="0.25">
      <c r="A481" s="126"/>
      <c r="B481" s="1"/>
      <c r="E481" s="1"/>
      <c r="F481" s="1"/>
      <c r="H481" s="1"/>
      <c r="K481" s="1"/>
      <c r="M481" s="1"/>
    </row>
    <row r="482" spans="1:13" ht="26.25" customHeight="1" x14ac:dyDescent="0.25">
      <c r="A482" s="126"/>
      <c r="B482" s="1"/>
      <c r="E482" s="1"/>
      <c r="F482" s="1"/>
      <c r="H482" s="1"/>
      <c r="K482" s="1"/>
      <c r="M482" s="1"/>
    </row>
    <row r="483" spans="1:13" ht="26.25" customHeight="1" x14ac:dyDescent="0.25">
      <c r="A483" s="126"/>
      <c r="B483" s="1"/>
      <c r="E483" s="1"/>
      <c r="F483" s="1"/>
      <c r="H483" s="1"/>
      <c r="K483" s="1"/>
      <c r="M483" s="1"/>
    </row>
    <row r="484" spans="1:13" ht="26.25" customHeight="1" x14ac:dyDescent="0.25">
      <c r="A484" s="126"/>
      <c r="B484" s="1"/>
      <c r="E484" s="1"/>
      <c r="F484" s="1"/>
      <c r="H484" s="1"/>
      <c r="K484" s="1"/>
      <c r="M484" s="1"/>
    </row>
    <row r="485" spans="1:13" ht="26.25" customHeight="1" x14ac:dyDescent="0.25">
      <c r="A485" s="126"/>
      <c r="B485" s="1"/>
      <c r="E485" s="1"/>
      <c r="F485" s="1"/>
      <c r="H485" s="1"/>
      <c r="K485" s="1"/>
      <c r="M485" s="1"/>
    </row>
    <row r="486" spans="1:13" ht="26.25" customHeight="1" x14ac:dyDescent="0.25">
      <c r="A486" s="126"/>
      <c r="B486" s="1"/>
      <c r="E486" s="1"/>
      <c r="F486" s="1"/>
      <c r="H486" s="1"/>
      <c r="K486" s="1"/>
      <c r="M486" s="1"/>
    </row>
    <row r="487" spans="1:13" ht="26.25" customHeight="1" x14ac:dyDescent="0.25">
      <c r="A487" s="126"/>
      <c r="B487" s="1"/>
      <c r="E487" s="1"/>
      <c r="F487" s="1"/>
      <c r="H487" s="1"/>
      <c r="K487" s="1"/>
      <c r="M487" s="1"/>
    </row>
    <row r="488" spans="1:13" ht="26.25" customHeight="1" x14ac:dyDescent="0.25">
      <c r="A488" s="126"/>
      <c r="B488" s="1"/>
      <c r="E488" s="1"/>
      <c r="F488" s="1"/>
      <c r="H488" s="1"/>
      <c r="K488" s="1"/>
      <c r="M488" s="1"/>
    </row>
    <row r="489" spans="1:13" ht="26.25" customHeight="1" x14ac:dyDescent="0.25">
      <c r="A489" s="126"/>
      <c r="B489" s="1"/>
      <c r="E489" s="1"/>
      <c r="F489" s="1"/>
      <c r="H489" s="1"/>
      <c r="K489" s="1"/>
      <c r="M489" s="1"/>
    </row>
    <row r="490" spans="1:13" ht="26.25" customHeight="1" x14ac:dyDescent="0.25">
      <c r="A490" s="126"/>
      <c r="B490" s="1"/>
      <c r="E490" s="1"/>
      <c r="F490" s="1"/>
      <c r="H490" s="1"/>
      <c r="K490" s="1"/>
      <c r="M490" s="1"/>
    </row>
    <row r="491" spans="1:13" ht="26.25" customHeight="1" x14ac:dyDescent="0.25">
      <c r="A491" s="126"/>
      <c r="B491" s="1"/>
      <c r="E491" s="1"/>
      <c r="F491" s="1"/>
      <c r="H491" s="1"/>
      <c r="K491" s="1"/>
      <c r="M491" s="1"/>
    </row>
    <row r="492" spans="1:13" ht="26.25" customHeight="1" x14ac:dyDescent="0.25">
      <c r="A492" s="126"/>
      <c r="B492" s="1"/>
      <c r="E492" s="1"/>
      <c r="F492" s="1"/>
      <c r="H492" s="1"/>
      <c r="K492" s="1"/>
      <c r="M492" s="1"/>
    </row>
    <row r="493" spans="1:13" ht="26.25" customHeight="1" x14ac:dyDescent="0.25">
      <c r="A493" s="126"/>
      <c r="B493" s="1"/>
      <c r="E493" s="1"/>
      <c r="F493" s="1"/>
      <c r="H493" s="1"/>
      <c r="K493" s="1"/>
      <c r="M493" s="1"/>
    </row>
    <row r="494" spans="1:13" ht="26.25" customHeight="1" x14ac:dyDescent="0.25">
      <c r="A494" s="126"/>
      <c r="B494" s="1"/>
      <c r="E494" s="1"/>
      <c r="F494" s="1"/>
      <c r="H494" s="1"/>
      <c r="K494" s="1"/>
      <c r="M494" s="1"/>
    </row>
    <row r="495" spans="1:13" ht="26.25" customHeight="1" x14ac:dyDescent="0.25">
      <c r="A495" s="126"/>
      <c r="B495" s="1"/>
      <c r="E495" s="1"/>
      <c r="F495" s="1"/>
      <c r="H495" s="1"/>
      <c r="K495" s="1"/>
      <c r="M495" s="1"/>
    </row>
    <row r="496" spans="1:13" ht="26.25" customHeight="1" x14ac:dyDescent="0.25">
      <c r="A496" s="126"/>
      <c r="B496" s="1"/>
      <c r="E496" s="1"/>
      <c r="F496" s="1"/>
      <c r="H496" s="1"/>
      <c r="K496" s="1"/>
      <c r="M496" s="1"/>
    </row>
    <row r="497" spans="1:13" ht="26.25" customHeight="1" x14ac:dyDescent="0.25">
      <c r="A497" s="126"/>
      <c r="B497" s="1"/>
      <c r="E497" s="1"/>
      <c r="F497" s="1"/>
      <c r="H497" s="1"/>
      <c r="K497" s="1"/>
      <c r="M497" s="1"/>
    </row>
    <row r="498" spans="1:13" ht="26.25" customHeight="1" x14ac:dyDescent="0.25">
      <c r="A498" s="126"/>
      <c r="B498" s="1"/>
      <c r="E498" s="1"/>
      <c r="F498" s="1"/>
      <c r="H498" s="1"/>
      <c r="K498" s="1"/>
      <c r="M498" s="1"/>
    </row>
    <row r="499" spans="1:13" ht="26.25" customHeight="1" x14ac:dyDescent="0.25">
      <c r="A499" s="126"/>
      <c r="B499" s="1"/>
      <c r="E499" s="1"/>
      <c r="F499" s="1"/>
      <c r="H499" s="1"/>
      <c r="K499" s="1"/>
      <c r="M499" s="1"/>
    </row>
    <row r="500" spans="1:13" ht="26.25" customHeight="1" x14ac:dyDescent="0.25">
      <c r="A500" s="126"/>
      <c r="B500" s="1"/>
      <c r="E500" s="1"/>
      <c r="F500" s="1"/>
      <c r="H500" s="1"/>
      <c r="K500" s="1"/>
      <c r="M500" s="1"/>
    </row>
    <row r="501" spans="1:13" ht="26.25" customHeight="1" x14ac:dyDescent="0.25">
      <c r="A501" s="126"/>
      <c r="B501" s="1"/>
      <c r="E501" s="1"/>
      <c r="F501" s="1"/>
      <c r="H501" s="1"/>
      <c r="K501" s="1"/>
      <c r="M501" s="1"/>
    </row>
    <row r="502" spans="1:13" ht="26.25" customHeight="1" x14ac:dyDescent="0.25">
      <c r="A502" s="126"/>
      <c r="B502" s="1"/>
      <c r="E502" s="1"/>
      <c r="F502" s="1"/>
      <c r="H502" s="1"/>
      <c r="K502" s="1"/>
      <c r="M502" s="1"/>
    </row>
    <row r="503" spans="1:13" ht="26.25" customHeight="1" x14ac:dyDescent="0.25">
      <c r="A503" s="126"/>
      <c r="B503" s="1"/>
      <c r="E503" s="1"/>
      <c r="F503" s="1"/>
      <c r="H503" s="1"/>
      <c r="K503" s="1"/>
      <c r="M503" s="1"/>
    </row>
    <row r="504" spans="1:13" ht="26.25" customHeight="1" x14ac:dyDescent="0.25">
      <c r="A504" s="126"/>
      <c r="B504" s="1"/>
      <c r="E504" s="1"/>
      <c r="F504" s="1"/>
      <c r="H504" s="1"/>
      <c r="K504" s="1"/>
      <c r="M504" s="1"/>
    </row>
    <row r="505" spans="1:13" ht="26.25" customHeight="1" x14ac:dyDescent="0.25">
      <c r="A505" s="126"/>
      <c r="B505" s="1"/>
      <c r="E505" s="1"/>
      <c r="F505" s="1"/>
      <c r="H505" s="1"/>
      <c r="K505" s="1"/>
      <c r="M505" s="1"/>
    </row>
    <row r="506" spans="1:13" ht="26.25" customHeight="1" x14ac:dyDescent="0.25">
      <c r="A506" s="126"/>
      <c r="B506" s="1"/>
      <c r="E506" s="1"/>
      <c r="F506" s="1"/>
      <c r="H506" s="1"/>
      <c r="K506" s="1"/>
      <c r="M506" s="1"/>
    </row>
    <row r="507" spans="1:13" ht="26.25" customHeight="1" x14ac:dyDescent="0.25">
      <c r="A507" s="126"/>
      <c r="B507" s="1"/>
      <c r="E507" s="1"/>
      <c r="F507" s="1"/>
      <c r="H507" s="1"/>
      <c r="K507" s="1"/>
      <c r="M507" s="1"/>
    </row>
    <row r="508" spans="1:13" ht="26.25" customHeight="1" x14ac:dyDescent="0.25">
      <c r="A508" s="126"/>
      <c r="B508" s="1"/>
      <c r="E508" s="1"/>
      <c r="F508" s="1"/>
      <c r="H508" s="1"/>
      <c r="K508" s="1"/>
      <c r="M508" s="1"/>
    </row>
    <row r="509" spans="1:13" ht="26.25" customHeight="1" x14ac:dyDescent="0.25">
      <c r="A509" s="126"/>
      <c r="B509" s="1"/>
      <c r="E509" s="1"/>
      <c r="F509" s="1"/>
      <c r="H509" s="1"/>
      <c r="K509" s="1"/>
      <c r="M509" s="1"/>
    </row>
    <row r="510" spans="1:13" ht="26.25" customHeight="1" x14ac:dyDescent="0.25">
      <c r="A510" s="126"/>
      <c r="B510" s="1"/>
      <c r="E510" s="1"/>
      <c r="F510" s="1"/>
      <c r="H510" s="1"/>
      <c r="K510" s="1"/>
      <c r="M510" s="1"/>
    </row>
    <row r="511" spans="1:13" ht="26.25" customHeight="1" x14ac:dyDescent="0.25">
      <c r="A511" s="126"/>
      <c r="B511" s="1"/>
      <c r="E511" s="1"/>
      <c r="F511" s="1"/>
      <c r="H511" s="1"/>
      <c r="K511" s="1"/>
      <c r="M511" s="1"/>
    </row>
    <row r="512" spans="1:13" ht="26.25" customHeight="1" x14ac:dyDescent="0.25">
      <c r="A512" s="126"/>
      <c r="B512" s="1"/>
      <c r="E512" s="1"/>
      <c r="F512" s="1"/>
      <c r="H512" s="1"/>
      <c r="K512" s="1"/>
      <c r="M512" s="1"/>
    </row>
    <row r="513" spans="1:13" ht="26.25" customHeight="1" x14ac:dyDescent="0.25">
      <c r="A513" s="126"/>
      <c r="B513" s="1"/>
      <c r="E513" s="1"/>
      <c r="F513" s="1"/>
      <c r="H513" s="1"/>
      <c r="K513" s="1"/>
      <c r="M513" s="1"/>
    </row>
    <row r="514" spans="1:13" ht="26.25" customHeight="1" x14ac:dyDescent="0.25">
      <c r="A514" s="126"/>
      <c r="B514" s="1"/>
      <c r="E514" s="1"/>
      <c r="F514" s="1"/>
      <c r="H514" s="1"/>
      <c r="K514" s="1"/>
      <c r="M514" s="1"/>
    </row>
    <row r="515" spans="1:13" ht="26.25" customHeight="1" x14ac:dyDescent="0.25">
      <c r="A515" s="126"/>
      <c r="B515" s="1"/>
      <c r="E515" s="1"/>
      <c r="F515" s="1"/>
      <c r="H515" s="1"/>
      <c r="K515" s="1"/>
      <c r="M515" s="1"/>
    </row>
    <row r="516" spans="1:13" ht="26.25" customHeight="1" x14ac:dyDescent="0.25">
      <c r="A516" s="126"/>
      <c r="B516" s="1"/>
      <c r="E516" s="1"/>
      <c r="F516" s="1"/>
      <c r="H516" s="1"/>
      <c r="K516" s="1"/>
      <c r="M516" s="1"/>
    </row>
    <row r="517" spans="1:13" ht="26.25" customHeight="1" x14ac:dyDescent="0.25">
      <c r="A517" s="126"/>
      <c r="B517" s="1"/>
      <c r="E517" s="1"/>
      <c r="F517" s="1"/>
      <c r="H517" s="1"/>
      <c r="K517" s="1"/>
      <c r="M517" s="1"/>
    </row>
    <row r="518" spans="1:13" ht="26.25" customHeight="1" x14ac:dyDescent="0.25">
      <c r="A518" s="126"/>
      <c r="B518" s="1"/>
      <c r="E518" s="1"/>
      <c r="F518" s="1"/>
      <c r="H518" s="1"/>
      <c r="K518" s="1"/>
      <c r="M518" s="1"/>
    </row>
    <row r="519" spans="1:13" ht="26.25" customHeight="1" x14ac:dyDescent="0.25">
      <c r="A519" s="126"/>
      <c r="B519" s="1"/>
      <c r="E519" s="1"/>
      <c r="F519" s="1"/>
      <c r="H519" s="1"/>
      <c r="K519" s="1"/>
      <c r="M519" s="1"/>
    </row>
    <row r="520" spans="1:13" ht="26.25" customHeight="1" x14ac:dyDescent="0.25">
      <c r="A520" s="126"/>
      <c r="B520" s="1"/>
      <c r="E520" s="1"/>
      <c r="F520" s="1"/>
      <c r="H520" s="1"/>
      <c r="K520" s="1"/>
      <c r="M520" s="1"/>
    </row>
    <row r="521" spans="1:13" ht="26.25" customHeight="1" x14ac:dyDescent="0.25">
      <c r="A521" s="126"/>
      <c r="B521" s="1"/>
      <c r="E521" s="1"/>
      <c r="F521" s="1"/>
      <c r="H521" s="1"/>
      <c r="K521" s="1"/>
      <c r="M521" s="1"/>
    </row>
    <row r="522" spans="1:13" ht="26.25" customHeight="1" x14ac:dyDescent="0.25">
      <c r="A522" s="126"/>
      <c r="B522" s="1"/>
      <c r="E522" s="1"/>
      <c r="F522" s="1"/>
      <c r="H522" s="1"/>
      <c r="K522" s="1"/>
      <c r="M522" s="1"/>
    </row>
    <row r="523" spans="1:13" ht="26.25" customHeight="1" x14ac:dyDescent="0.25">
      <c r="A523" s="126"/>
      <c r="B523" s="1"/>
      <c r="E523" s="1"/>
      <c r="F523" s="1"/>
      <c r="H523" s="1"/>
      <c r="K523" s="1"/>
      <c r="M523" s="1"/>
    </row>
    <row r="524" spans="1:13" ht="26.25" customHeight="1" x14ac:dyDescent="0.25">
      <c r="A524" s="126"/>
      <c r="B524" s="1"/>
      <c r="E524" s="1"/>
      <c r="F524" s="1"/>
      <c r="H524" s="1"/>
      <c r="K524" s="1"/>
      <c r="M524" s="1"/>
    </row>
    <row r="525" spans="1:13" ht="26.25" customHeight="1" x14ac:dyDescent="0.25">
      <c r="A525" s="126"/>
      <c r="B525" s="1"/>
      <c r="E525" s="1"/>
      <c r="F525" s="1"/>
      <c r="H525" s="1"/>
      <c r="K525" s="1"/>
      <c r="M525" s="1"/>
    </row>
    <row r="526" spans="1:13" ht="26.25" customHeight="1" x14ac:dyDescent="0.25">
      <c r="A526" s="126"/>
      <c r="B526" s="1"/>
      <c r="E526" s="1"/>
      <c r="F526" s="1"/>
      <c r="H526" s="1"/>
      <c r="K526" s="1"/>
      <c r="M526" s="1"/>
    </row>
    <row r="527" spans="1:13" ht="26.25" customHeight="1" x14ac:dyDescent="0.25">
      <c r="A527" s="126"/>
      <c r="B527" s="1"/>
      <c r="E527" s="1"/>
      <c r="F527" s="1"/>
      <c r="H527" s="1"/>
      <c r="K527" s="1"/>
      <c r="M527" s="1"/>
    </row>
    <row r="528" spans="1:13" ht="26.25" customHeight="1" x14ac:dyDescent="0.25">
      <c r="A528" s="126"/>
      <c r="B528" s="1"/>
      <c r="E528" s="1"/>
      <c r="F528" s="1"/>
      <c r="H528" s="1"/>
      <c r="K528" s="1"/>
      <c r="M528" s="1"/>
    </row>
    <row r="529" spans="1:13" ht="26.25" customHeight="1" x14ac:dyDescent="0.25">
      <c r="A529" s="126"/>
      <c r="B529" s="1"/>
      <c r="E529" s="1"/>
      <c r="F529" s="1"/>
      <c r="H529" s="1"/>
      <c r="K529" s="1"/>
      <c r="M529" s="1"/>
    </row>
    <row r="530" spans="1:13" ht="26.25" customHeight="1" x14ac:dyDescent="0.25">
      <c r="A530" s="126"/>
      <c r="B530" s="1"/>
      <c r="E530" s="1"/>
      <c r="F530" s="1"/>
      <c r="H530" s="1"/>
      <c r="K530" s="1"/>
      <c r="M530" s="1"/>
    </row>
    <row r="531" spans="1:13" ht="26.25" customHeight="1" x14ac:dyDescent="0.25">
      <c r="A531" s="126"/>
      <c r="B531" s="1"/>
      <c r="E531" s="1"/>
      <c r="F531" s="1"/>
      <c r="H531" s="1"/>
      <c r="K531" s="1"/>
      <c r="M531" s="1"/>
    </row>
    <row r="532" spans="1:13" ht="26.25" customHeight="1" x14ac:dyDescent="0.25">
      <c r="A532" s="126"/>
      <c r="B532" s="1"/>
      <c r="E532" s="1"/>
      <c r="F532" s="1"/>
      <c r="H532" s="1"/>
      <c r="K532" s="1"/>
      <c r="M532" s="1"/>
    </row>
    <row r="533" spans="1:13" ht="26.25" customHeight="1" x14ac:dyDescent="0.25">
      <c r="A533" s="126"/>
      <c r="B533" s="1"/>
      <c r="E533" s="1"/>
      <c r="F533" s="1"/>
      <c r="H533" s="1"/>
      <c r="K533" s="1"/>
      <c r="M533" s="1"/>
    </row>
    <row r="534" spans="1:13" ht="26.25" customHeight="1" x14ac:dyDescent="0.25">
      <c r="A534" s="126"/>
      <c r="B534" s="1"/>
      <c r="E534" s="1"/>
      <c r="F534" s="1"/>
      <c r="H534" s="1"/>
      <c r="K534" s="1"/>
      <c r="M534" s="1"/>
    </row>
    <row r="535" spans="1:13" ht="26.25" customHeight="1" x14ac:dyDescent="0.25">
      <c r="A535" s="126"/>
      <c r="B535" s="1"/>
      <c r="E535" s="1"/>
      <c r="F535" s="1"/>
      <c r="H535" s="1"/>
      <c r="K535" s="1"/>
      <c r="M535" s="1"/>
    </row>
    <row r="536" spans="1:13" ht="26.25" customHeight="1" x14ac:dyDescent="0.25">
      <c r="A536" s="126"/>
      <c r="B536" s="1"/>
      <c r="E536" s="1"/>
      <c r="F536" s="1"/>
      <c r="H536" s="1"/>
      <c r="K536" s="1"/>
      <c r="M536" s="1"/>
    </row>
    <row r="537" spans="1:13" ht="26.25" customHeight="1" x14ac:dyDescent="0.25">
      <c r="A537" s="126"/>
      <c r="B537" s="1"/>
      <c r="E537" s="1"/>
      <c r="F537" s="1"/>
      <c r="H537" s="1"/>
      <c r="K537" s="1"/>
      <c r="M537" s="1"/>
    </row>
    <row r="538" spans="1:13" ht="26.25" customHeight="1" x14ac:dyDescent="0.25">
      <c r="A538" s="126"/>
      <c r="B538" s="1"/>
      <c r="E538" s="1"/>
      <c r="F538" s="1"/>
      <c r="H538" s="1"/>
      <c r="K538" s="1"/>
      <c r="M538" s="1"/>
    </row>
    <row r="539" spans="1:13" ht="26.25" customHeight="1" x14ac:dyDescent="0.25">
      <c r="A539" s="126"/>
      <c r="B539" s="1"/>
      <c r="E539" s="1"/>
      <c r="F539" s="1"/>
      <c r="H539" s="1"/>
      <c r="K539" s="1"/>
      <c r="M539" s="1"/>
    </row>
    <row r="540" spans="1:13" ht="26.25" customHeight="1" x14ac:dyDescent="0.25">
      <c r="A540" s="126"/>
      <c r="B540" s="1"/>
      <c r="E540" s="1"/>
      <c r="F540" s="1"/>
      <c r="H540" s="1"/>
      <c r="K540" s="1"/>
      <c r="M540" s="1"/>
    </row>
    <row r="541" spans="1:13" ht="26.25" customHeight="1" x14ac:dyDescent="0.25">
      <c r="A541" s="126"/>
      <c r="B541" s="1"/>
      <c r="E541" s="1"/>
      <c r="F541" s="1"/>
      <c r="H541" s="1"/>
      <c r="K541" s="1"/>
      <c r="M541" s="1"/>
    </row>
    <row r="542" spans="1:13" ht="26.25" customHeight="1" x14ac:dyDescent="0.25">
      <c r="A542" s="126"/>
      <c r="B542" s="1"/>
      <c r="E542" s="1"/>
      <c r="F542" s="1"/>
      <c r="H542" s="1"/>
      <c r="K542" s="1"/>
      <c r="M542" s="1"/>
    </row>
    <row r="543" spans="1:13" ht="26.25" customHeight="1" x14ac:dyDescent="0.25">
      <c r="A543" s="126"/>
      <c r="B543" s="1"/>
      <c r="E543" s="1"/>
      <c r="F543" s="1"/>
      <c r="H543" s="1"/>
      <c r="K543" s="1"/>
      <c r="M543" s="1"/>
    </row>
    <row r="544" spans="1:13" ht="26.25" customHeight="1" x14ac:dyDescent="0.25">
      <c r="A544" s="126"/>
      <c r="B544" s="1"/>
      <c r="E544" s="1"/>
      <c r="F544" s="1"/>
      <c r="H544" s="1"/>
      <c r="K544" s="1"/>
      <c r="M544" s="1"/>
    </row>
    <row r="545" spans="1:13" ht="26.25" customHeight="1" x14ac:dyDescent="0.25">
      <c r="A545" s="126"/>
      <c r="B545" s="1"/>
      <c r="E545" s="1"/>
      <c r="F545" s="1"/>
      <c r="H545" s="1"/>
      <c r="K545" s="1"/>
      <c r="M545" s="1"/>
    </row>
    <row r="546" spans="1:13" ht="26.25" customHeight="1" x14ac:dyDescent="0.25">
      <c r="A546" s="126"/>
      <c r="B546" s="1"/>
      <c r="E546" s="1"/>
      <c r="F546" s="1"/>
      <c r="H546" s="1"/>
      <c r="K546" s="1"/>
      <c r="M546" s="1"/>
    </row>
    <row r="547" spans="1:13" ht="26.25" customHeight="1" x14ac:dyDescent="0.25">
      <c r="A547" s="126"/>
      <c r="B547" s="1"/>
      <c r="E547" s="1"/>
      <c r="F547" s="1"/>
      <c r="H547" s="1"/>
      <c r="K547" s="1"/>
      <c r="M547" s="1"/>
    </row>
    <row r="548" spans="1:13" ht="26.25" customHeight="1" x14ac:dyDescent="0.25">
      <c r="A548" s="126"/>
      <c r="B548" s="1"/>
      <c r="E548" s="1"/>
      <c r="F548" s="1"/>
      <c r="H548" s="1"/>
      <c r="K548" s="1"/>
      <c r="M548" s="1"/>
    </row>
    <row r="549" spans="1:13" ht="26.25" customHeight="1" x14ac:dyDescent="0.25">
      <c r="A549" s="126"/>
      <c r="B549" s="1"/>
      <c r="E549" s="1"/>
      <c r="F549" s="1"/>
      <c r="H549" s="1"/>
      <c r="K549" s="1"/>
      <c r="M549" s="1"/>
    </row>
    <row r="550" spans="1:13" ht="26.25" customHeight="1" x14ac:dyDescent="0.25">
      <c r="A550" s="126"/>
      <c r="B550" s="1"/>
      <c r="E550" s="1"/>
      <c r="F550" s="1"/>
      <c r="H550" s="1"/>
      <c r="K550" s="1"/>
      <c r="M550" s="1"/>
    </row>
    <row r="551" spans="1:13" ht="26.25" customHeight="1" x14ac:dyDescent="0.25">
      <c r="A551" s="126"/>
      <c r="B551" s="1"/>
      <c r="E551" s="1"/>
      <c r="F551" s="1"/>
      <c r="H551" s="1"/>
      <c r="K551" s="1"/>
      <c r="M551" s="1"/>
    </row>
    <row r="552" spans="1:13" ht="26.25" customHeight="1" x14ac:dyDescent="0.25">
      <c r="A552" s="126"/>
      <c r="B552" s="1"/>
      <c r="E552" s="1"/>
      <c r="F552" s="1"/>
      <c r="H552" s="1"/>
      <c r="K552" s="1"/>
      <c r="M552" s="1"/>
    </row>
    <row r="553" spans="1:13" ht="26.25" customHeight="1" x14ac:dyDescent="0.25">
      <c r="A553" s="126"/>
      <c r="B553" s="1"/>
      <c r="E553" s="1"/>
      <c r="F553" s="1"/>
      <c r="H553" s="1"/>
      <c r="K553" s="1"/>
      <c r="M553" s="1"/>
    </row>
    <row r="554" spans="1:13" ht="26.25" customHeight="1" x14ac:dyDescent="0.25">
      <c r="A554" s="126"/>
      <c r="B554" s="1"/>
      <c r="E554" s="1"/>
      <c r="F554" s="1"/>
      <c r="H554" s="1"/>
      <c r="K554" s="1"/>
      <c r="M554" s="1"/>
    </row>
    <row r="555" spans="1:13" ht="26.25" customHeight="1" x14ac:dyDescent="0.25">
      <c r="A555" s="126"/>
      <c r="B555" s="1"/>
      <c r="E555" s="1"/>
      <c r="F555" s="1"/>
      <c r="H555" s="1"/>
      <c r="K555" s="1"/>
      <c r="M555" s="1"/>
    </row>
    <row r="556" spans="1:13" ht="26.25" customHeight="1" x14ac:dyDescent="0.25">
      <c r="A556" s="126"/>
      <c r="B556" s="1"/>
      <c r="E556" s="1"/>
      <c r="F556" s="1"/>
      <c r="H556" s="1"/>
      <c r="K556" s="1"/>
      <c r="M556" s="1"/>
    </row>
    <row r="557" spans="1:13" ht="26.25" customHeight="1" x14ac:dyDescent="0.25">
      <c r="A557" s="126"/>
      <c r="B557" s="1"/>
      <c r="E557" s="1"/>
      <c r="F557" s="1"/>
      <c r="H557" s="1"/>
      <c r="K557" s="1"/>
      <c r="M557" s="1"/>
    </row>
    <row r="558" spans="1:13" ht="26.25" customHeight="1" x14ac:dyDescent="0.25">
      <c r="A558" s="126"/>
      <c r="B558" s="1"/>
      <c r="E558" s="1"/>
      <c r="F558" s="1"/>
      <c r="H558" s="1"/>
      <c r="K558" s="1"/>
      <c r="M558" s="1"/>
    </row>
    <row r="559" spans="1:13" ht="26.25" customHeight="1" x14ac:dyDescent="0.25">
      <c r="A559" s="126"/>
      <c r="B559" s="1"/>
      <c r="E559" s="1"/>
      <c r="F559" s="1"/>
      <c r="H559" s="1"/>
      <c r="K559" s="1"/>
      <c r="M559" s="1"/>
    </row>
    <row r="560" spans="1:13" ht="26.25" customHeight="1" x14ac:dyDescent="0.25">
      <c r="A560" s="126"/>
      <c r="B560" s="1"/>
      <c r="E560" s="1"/>
      <c r="F560" s="1"/>
      <c r="H560" s="1"/>
      <c r="K560" s="1"/>
      <c r="M560" s="1"/>
    </row>
    <row r="561" spans="1:13" ht="26.25" customHeight="1" x14ac:dyDescent="0.25">
      <c r="A561" s="126"/>
      <c r="B561" s="1"/>
      <c r="E561" s="1"/>
      <c r="F561" s="1"/>
      <c r="H561" s="1"/>
      <c r="K561" s="1"/>
      <c r="M561" s="1"/>
    </row>
    <row r="562" spans="1:13" ht="26.25" customHeight="1" x14ac:dyDescent="0.25">
      <c r="A562" s="126"/>
      <c r="B562" s="1"/>
      <c r="E562" s="1"/>
      <c r="F562" s="1"/>
      <c r="H562" s="1"/>
      <c r="K562" s="1"/>
      <c r="M562" s="1"/>
    </row>
    <row r="563" spans="1:13" ht="26.25" customHeight="1" x14ac:dyDescent="0.25">
      <c r="A563" s="126"/>
      <c r="B563" s="1"/>
      <c r="E563" s="1"/>
      <c r="F563" s="1"/>
      <c r="H563" s="1"/>
      <c r="K563" s="1"/>
      <c r="M563" s="1"/>
    </row>
    <row r="564" spans="1:13" ht="26.25" customHeight="1" x14ac:dyDescent="0.25">
      <c r="A564" s="126"/>
      <c r="B564" s="1"/>
      <c r="E564" s="1"/>
      <c r="F564" s="1"/>
      <c r="H564" s="1"/>
      <c r="K564" s="1"/>
      <c r="M564" s="1"/>
    </row>
    <row r="565" spans="1:13" ht="26.25" customHeight="1" x14ac:dyDescent="0.25">
      <c r="A565" s="126"/>
      <c r="B565" s="1"/>
      <c r="E565" s="1"/>
      <c r="F565" s="1"/>
      <c r="H565" s="1"/>
      <c r="K565" s="1"/>
      <c r="M565" s="1"/>
    </row>
    <row r="566" spans="1:13" ht="26.25" customHeight="1" x14ac:dyDescent="0.25">
      <c r="A566" s="126"/>
      <c r="B566" s="1"/>
      <c r="E566" s="1"/>
      <c r="F566" s="1"/>
      <c r="H566" s="1"/>
      <c r="K566" s="1"/>
      <c r="M566" s="1"/>
    </row>
    <row r="567" spans="1:13" ht="26.25" customHeight="1" x14ac:dyDescent="0.25">
      <c r="A567" s="126"/>
      <c r="B567" s="1"/>
      <c r="E567" s="1"/>
      <c r="F567" s="1"/>
      <c r="H567" s="1"/>
      <c r="K567" s="1"/>
      <c r="M567" s="1"/>
    </row>
    <row r="568" spans="1:13" ht="26.25" customHeight="1" x14ac:dyDescent="0.25">
      <c r="A568" s="126"/>
      <c r="B568" s="1"/>
      <c r="E568" s="1"/>
      <c r="F568" s="1"/>
      <c r="H568" s="1"/>
      <c r="K568" s="1"/>
      <c r="M568" s="1"/>
    </row>
    <row r="569" spans="1:13" ht="26.25" customHeight="1" x14ac:dyDescent="0.25">
      <c r="A569" s="126"/>
      <c r="B569" s="1"/>
      <c r="E569" s="1"/>
      <c r="F569" s="1"/>
      <c r="H569" s="1"/>
      <c r="K569" s="1"/>
      <c r="M569" s="1"/>
    </row>
    <row r="570" spans="1:13" ht="26.25" customHeight="1" x14ac:dyDescent="0.25">
      <c r="A570" s="126"/>
      <c r="B570" s="1"/>
      <c r="E570" s="1"/>
      <c r="F570" s="1"/>
      <c r="H570" s="1"/>
      <c r="K570" s="1"/>
      <c r="M570" s="1"/>
    </row>
    <row r="571" spans="1:13" ht="26.25" customHeight="1" x14ac:dyDescent="0.25">
      <c r="A571" s="126"/>
      <c r="B571" s="1"/>
      <c r="E571" s="1"/>
      <c r="F571" s="1"/>
      <c r="H571" s="1"/>
      <c r="K571" s="1"/>
      <c r="M571" s="1"/>
    </row>
    <row r="572" spans="1:13" ht="26.25" customHeight="1" x14ac:dyDescent="0.25">
      <c r="A572" s="126"/>
      <c r="B572" s="1"/>
      <c r="E572" s="1"/>
      <c r="F572" s="1"/>
      <c r="H572" s="1"/>
      <c r="K572" s="1"/>
      <c r="M572" s="1"/>
    </row>
    <row r="573" spans="1:13" ht="26.25" customHeight="1" x14ac:dyDescent="0.25">
      <c r="A573" s="126"/>
      <c r="B573" s="1"/>
      <c r="E573" s="1"/>
      <c r="F573" s="1"/>
      <c r="H573" s="1"/>
      <c r="K573" s="1"/>
      <c r="M573" s="1"/>
    </row>
    <row r="574" spans="1:13" ht="26.25" customHeight="1" x14ac:dyDescent="0.25">
      <c r="A574" s="126"/>
      <c r="B574" s="1"/>
      <c r="E574" s="1"/>
      <c r="F574" s="1"/>
      <c r="H574" s="1"/>
      <c r="K574" s="1"/>
      <c r="M574" s="1"/>
    </row>
    <row r="575" spans="1:13" ht="26.25" customHeight="1" x14ac:dyDescent="0.25">
      <c r="A575" s="126"/>
      <c r="B575" s="1"/>
      <c r="E575" s="1"/>
      <c r="F575" s="1"/>
      <c r="H575" s="1"/>
      <c r="K575" s="1"/>
      <c r="M575" s="1"/>
    </row>
    <row r="576" spans="1:13" ht="26.25" customHeight="1" x14ac:dyDescent="0.25">
      <c r="A576" s="126"/>
      <c r="B576" s="1"/>
      <c r="E576" s="1"/>
      <c r="F576" s="1"/>
      <c r="H576" s="1"/>
      <c r="K576" s="1"/>
      <c r="M576" s="1"/>
    </row>
    <row r="577" spans="1:13" ht="26.25" customHeight="1" x14ac:dyDescent="0.25">
      <c r="A577" s="126"/>
      <c r="B577" s="1"/>
      <c r="E577" s="1"/>
      <c r="F577" s="1"/>
      <c r="H577" s="1"/>
      <c r="K577" s="1"/>
      <c r="M577" s="1"/>
    </row>
    <row r="578" spans="1:13" ht="26.25" customHeight="1" x14ac:dyDescent="0.25">
      <c r="A578" s="126"/>
      <c r="B578" s="1"/>
      <c r="E578" s="1"/>
      <c r="F578" s="1"/>
      <c r="H578" s="1"/>
      <c r="K578" s="1"/>
      <c r="M578" s="1"/>
    </row>
    <row r="579" spans="1:13" ht="26.25" customHeight="1" x14ac:dyDescent="0.25">
      <c r="A579" s="126"/>
      <c r="B579" s="1"/>
      <c r="E579" s="1"/>
      <c r="F579" s="1"/>
      <c r="H579" s="1"/>
      <c r="K579" s="1"/>
      <c r="M579" s="1"/>
    </row>
    <row r="580" spans="1:13" ht="26.25" customHeight="1" x14ac:dyDescent="0.25">
      <c r="A580" s="126"/>
      <c r="B580" s="1"/>
      <c r="E580" s="1"/>
      <c r="F580" s="1"/>
      <c r="H580" s="1"/>
      <c r="K580" s="1"/>
      <c r="M580" s="1"/>
    </row>
    <row r="581" spans="1:13" ht="26.25" customHeight="1" x14ac:dyDescent="0.25">
      <c r="A581" s="126"/>
      <c r="B581" s="1"/>
      <c r="E581" s="1"/>
      <c r="F581" s="1"/>
      <c r="H581" s="1"/>
      <c r="K581" s="1"/>
      <c r="M581" s="1"/>
    </row>
    <row r="582" spans="1:13" ht="26.25" customHeight="1" x14ac:dyDescent="0.25">
      <c r="A582" s="126"/>
      <c r="B582" s="1"/>
      <c r="E582" s="1"/>
      <c r="F582" s="1"/>
      <c r="H582" s="1"/>
      <c r="K582" s="1"/>
      <c r="M582" s="1"/>
    </row>
    <row r="583" spans="1:13" ht="26.25" customHeight="1" x14ac:dyDescent="0.25">
      <c r="A583" s="126"/>
      <c r="B583" s="1"/>
      <c r="E583" s="1"/>
      <c r="F583" s="1"/>
      <c r="H583" s="1"/>
      <c r="K583" s="1"/>
      <c r="M583" s="1"/>
    </row>
    <row r="584" spans="1:13" ht="26.25" customHeight="1" x14ac:dyDescent="0.25">
      <c r="A584" s="126"/>
      <c r="B584" s="1"/>
      <c r="E584" s="1"/>
      <c r="F584" s="1"/>
      <c r="H584" s="1"/>
      <c r="K584" s="1"/>
      <c r="M584" s="1"/>
    </row>
    <row r="585" spans="1:13" ht="26.25" customHeight="1" x14ac:dyDescent="0.25">
      <c r="A585" s="126"/>
      <c r="B585" s="1"/>
      <c r="E585" s="1"/>
      <c r="F585" s="1"/>
      <c r="H585" s="1"/>
      <c r="K585" s="1"/>
      <c r="M585" s="1"/>
    </row>
    <row r="586" spans="1:13" ht="26.25" customHeight="1" x14ac:dyDescent="0.25">
      <c r="A586" s="126"/>
      <c r="B586" s="1"/>
      <c r="E586" s="1"/>
      <c r="F586" s="1"/>
      <c r="H586" s="1"/>
      <c r="K586" s="1"/>
      <c r="M586" s="1"/>
    </row>
    <row r="587" spans="1:13" ht="26.25" customHeight="1" x14ac:dyDescent="0.25">
      <c r="A587" s="126"/>
      <c r="B587" s="1"/>
      <c r="E587" s="1"/>
      <c r="F587" s="1"/>
      <c r="H587" s="1"/>
      <c r="K587" s="1"/>
      <c r="M587" s="1"/>
    </row>
    <row r="588" spans="1:13" ht="26.25" customHeight="1" x14ac:dyDescent="0.25">
      <c r="A588" s="126"/>
      <c r="B588" s="1"/>
      <c r="E588" s="1"/>
      <c r="F588" s="1"/>
      <c r="H588" s="1"/>
      <c r="K588" s="1"/>
      <c r="M588" s="1"/>
    </row>
    <row r="589" spans="1:13" ht="26.25" customHeight="1" x14ac:dyDescent="0.25">
      <c r="A589" s="126"/>
      <c r="B589" s="1"/>
      <c r="E589" s="1"/>
      <c r="F589" s="1"/>
      <c r="H589" s="1"/>
      <c r="K589" s="1"/>
      <c r="M589" s="1"/>
    </row>
    <row r="590" spans="1:13" ht="26.25" customHeight="1" x14ac:dyDescent="0.25">
      <c r="A590" s="126"/>
      <c r="B590" s="1"/>
      <c r="E590" s="1"/>
      <c r="F590" s="1"/>
      <c r="H590" s="1"/>
      <c r="K590" s="1"/>
      <c r="M590" s="1"/>
    </row>
    <row r="591" spans="1:13" ht="26.25" customHeight="1" x14ac:dyDescent="0.25">
      <c r="A591" s="126"/>
      <c r="B591" s="1"/>
      <c r="E591" s="1"/>
      <c r="F591" s="1"/>
      <c r="H591" s="1"/>
      <c r="K591" s="1"/>
      <c r="M591" s="1"/>
    </row>
    <row r="592" spans="1:13" ht="26.25" customHeight="1" x14ac:dyDescent="0.25">
      <c r="A592" s="126"/>
      <c r="B592" s="1"/>
      <c r="E592" s="1"/>
      <c r="F592" s="1"/>
      <c r="H592" s="1"/>
      <c r="K592" s="1"/>
      <c r="M592" s="1"/>
    </row>
    <row r="593" spans="1:13" ht="26.25" customHeight="1" x14ac:dyDescent="0.25">
      <c r="A593" s="126"/>
      <c r="B593" s="1"/>
      <c r="E593" s="1"/>
      <c r="F593" s="1"/>
      <c r="H593" s="1"/>
      <c r="K593" s="1"/>
      <c r="M593" s="1"/>
    </row>
    <row r="594" spans="1:13" ht="26.25" customHeight="1" x14ac:dyDescent="0.25">
      <c r="A594" s="126"/>
      <c r="B594" s="1"/>
      <c r="E594" s="1"/>
      <c r="F594" s="1"/>
      <c r="H594" s="1"/>
      <c r="K594" s="1"/>
      <c r="M594" s="1"/>
    </row>
    <row r="595" spans="1:13" ht="26.25" customHeight="1" x14ac:dyDescent="0.25">
      <c r="A595" s="126"/>
      <c r="B595" s="1"/>
      <c r="E595" s="1"/>
      <c r="F595" s="1"/>
      <c r="H595" s="1"/>
      <c r="K595" s="1"/>
      <c r="M595" s="1"/>
    </row>
    <row r="596" spans="1:13" ht="26.25" customHeight="1" x14ac:dyDescent="0.25">
      <c r="A596" s="126"/>
      <c r="B596" s="1"/>
      <c r="E596" s="1"/>
      <c r="F596" s="1"/>
      <c r="H596" s="1"/>
      <c r="K596" s="1"/>
      <c r="M596" s="1"/>
    </row>
    <row r="597" spans="1:13" ht="26.25" customHeight="1" x14ac:dyDescent="0.25">
      <c r="A597" s="126"/>
      <c r="B597" s="1"/>
      <c r="E597" s="1"/>
      <c r="F597" s="1"/>
      <c r="H597" s="1"/>
      <c r="K597" s="1"/>
      <c r="M597" s="1"/>
    </row>
    <row r="598" spans="1:13" ht="26.25" customHeight="1" x14ac:dyDescent="0.25">
      <c r="A598" s="126"/>
      <c r="B598" s="1"/>
      <c r="E598" s="1"/>
      <c r="F598" s="1"/>
      <c r="H598" s="1"/>
      <c r="K598" s="1"/>
      <c r="M598" s="1"/>
    </row>
    <row r="599" spans="1:13" ht="26.25" customHeight="1" x14ac:dyDescent="0.25">
      <c r="A599" s="126"/>
      <c r="B599" s="1"/>
      <c r="E599" s="1"/>
      <c r="F599" s="1"/>
      <c r="H599" s="1"/>
      <c r="K599" s="1"/>
      <c r="M599" s="1"/>
    </row>
    <row r="600" spans="1:13" ht="26.25" customHeight="1" x14ac:dyDescent="0.25">
      <c r="A600" s="126"/>
      <c r="B600" s="1"/>
      <c r="E600" s="1"/>
      <c r="F600" s="1"/>
      <c r="H600" s="1"/>
      <c r="K600" s="1"/>
      <c r="M600" s="1"/>
    </row>
    <row r="601" spans="1:13" ht="26.25" customHeight="1" x14ac:dyDescent="0.25">
      <c r="A601" s="126"/>
      <c r="B601" s="1"/>
      <c r="E601" s="1"/>
      <c r="F601" s="1"/>
      <c r="H601" s="1"/>
      <c r="K601" s="1"/>
      <c r="M601" s="1"/>
    </row>
    <row r="602" spans="1:13" ht="26.25" customHeight="1" x14ac:dyDescent="0.25">
      <c r="A602" s="126"/>
      <c r="B602" s="1"/>
      <c r="E602" s="1"/>
      <c r="F602" s="1"/>
      <c r="H602" s="1"/>
      <c r="K602" s="1"/>
      <c r="M602" s="1"/>
    </row>
    <row r="603" spans="1:13" ht="26.25" customHeight="1" x14ac:dyDescent="0.25">
      <c r="A603" s="126"/>
      <c r="B603" s="1"/>
      <c r="E603" s="1"/>
      <c r="F603" s="1"/>
      <c r="H603" s="1"/>
      <c r="K603" s="1"/>
      <c r="M603" s="1"/>
    </row>
    <row r="604" spans="1:13" ht="26.25" customHeight="1" x14ac:dyDescent="0.25">
      <c r="A604" s="126"/>
      <c r="B604" s="1"/>
      <c r="E604" s="1"/>
      <c r="F604" s="1"/>
      <c r="H604" s="1"/>
      <c r="K604" s="1"/>
      <c r="M604" s="1"/>
    </row>
    <row r="605" spans="1:13" ht="26.25" customHeight="1" x14ac:dyDescent="0.25">
      <c r="A605" s="126"/>
      <c r="B605" s="1"/>
      <c r="E605" s="1"/>
      <c r="F605" s="1"/>
      <c r="H605" s="1"/>
      <c r="K605" s="1"/>
      <c r="M605" s="1"/>
    </row>
    <row r="606" spans="1:13" ht="26.25" customHeight="1" x14ac:dyDescent="0.25">
      <c r="A606" s="126"/>
      <c r="B606" s="1"/>
      <c r="E606" s="1"/>
      <c r="F606" s="1"/>
      <c r="H606" s="1"/>
      <c r="K606" s="1"/>
      <c r="M606" s="1"/>
    </row>
    <row r="607" spans="1:13" ht="26.25" customHeight="1" x14ac:dyDescent="0.25">
      <c r="A607" s="126"/>
      <c r="B607" s="1"/>
      <c r="E607" s="1"/>
      <c r="F607" s="1"/>
      <c r="H607" s="1"/>
      <c r="K607" s="1"/>
      <c r="M607" s="1"/>
    </row>
    <row r="608" spans="1:13" ht="26.25" customHeight="1" x14ac:dyDescent="0.25">
      <c r="A608" s="126"/>
      <c r="B608" s="1"/>
      <c r="E608" s="1"/>
      <c r="F608" s="1"/>
      <c r="H608" s="1"/>
      <c r="K608" s="1"/>
      <c r="M608" s="1"/>
    </row>
    <row r="609" spans="1:13" ht="26.25" customHeight="1" x14ac:dyDescent="0.25">
      <c r="A609" s="126"/>
      <c r="B609" s="1"/>
      <c r="E609" s="1"/>
      <c r="F609" s="1"/>
      <c r="H609" s="1"/>
      <c r="K609" s="1"/>
      <c r="M609" s="1"/>
    </row>
    <row r="610" spans="1:13" ht="26.25" customHeight="1" x14ac:dyDescent="0.25">
      <c r="A610" s="126"/>
      <c r="B610" s="1"/>
      <c r="E610" s="1"/>
      <c r="F610" s="1"/>
      <c r="H610" s="1"/>
      <c r="K610" s="1"/>
      <c r="M610" s="1"/>
    </row>
    <row r="611" spans="1:13" ht="26.25" customHeight="1" x14ac:dyDescent="0.25">
      <c r="A611" s="126"/>
      <c r="B611" s="1"/>
      <c r="E611" s="1"/>
      <c r="F611" s="1"/>
      <c r="H611" s="1"/>
      <c r="K611" s="1"/>
      <c r="M611" s="1"/>
    </row>
    <row r="612" spans="1:13" ht="26.25" customHeight="1" x14ac:dyDescent="0.25">
      <c r="A612" s="126"/>
      <c r="B612" s="1"/>
      <c r="E612" s="1"/>
      <c r="F612" s="1"/>
      <c r="H612" s="1"/>
      <c r="K612" s="1"/>
      <c r="M612" s="1"/>
    </row>
    <row r="613" spans="1:13" ht="26.25" customHeight="1" x14ac:dyDescent="0.25">
      <c r="A613" s="126"/>
      <c r="B613" s="1"/>
      <c r="E613" s="1"/>
      <c r="F613" s="1"/>
      <c r="H613" s="1"/>
      <c r="K613" s="1"/>
      <c r="M613" s="1"/>
    </row>
    <row r="614" spans="1:13" ht="26.25" customHeight="1" x14ac:dyDescent="0.25">
      <c r="A614" s="126"/>
      <c r="B614" s="1"/>
      <c r="E614" s="1"/>
      <c r="F614" s="1"/>
      <c r="H614" s="1"/>
      <c r="K614" s="1"/>
      <c r="M614" s="1"/>
    </row>
    <row r="615" spans="1:13" ht="26.25" customHeight="1" x14ac:dyDescent="0.25">
      <c r="A615" s="126"/>
      <c r="B615" s="1"/>
      <c r="E615" s="1"/>
      <c r="F615" s="1"/>
      <c r="H615" s="1"/>
      <c r="K615" s="1"/>
      <c r="M615" s="1"/>
    </row>
    <row r="616" spans="1:13" ht="26.25" customHeight="1" x14ac:dyDescent="0.25">
      <c r="A616" s="126"/>
      <c r="B616" s="1"/>
      <c r="E616" s="1"/>
      <c r="F616" s="1"/>
      <c r="H616" s="1"/>
      <c r="K616" s="1"/>
      <c r="M616" s="1"/>
    </row>
    <row r="617" spans="1:13" ht="26.25" customHeight="1" x14ac:dyDescent="0.25">
      <c r="A617" s="126"/>
      <c r="B617" s="1"/>
      <c r="E617" s="1"/>
      <c r="F617" s="1"/>
      <c r="H617" s="1"/>
      <c r="K617" s="1"/>
      <c r="M617" s="1"/>
    </row>
    <row r="618" spans="1:13" ht="26.25" customHeight="1" x14ac:dyDescent="0.25">
      <c r="A618" s="126"/>
      <c r="B618" s="1"/>
      <c r="E618" s="1"/>
      <c r="F618" s="1"/>
      <c r="H618" s="1"/>
      <c r="K618" s="1"/>
      <c r="M618" s="1"/>
    </row>
    <row r="619" spans="1:13" ht="26.25" customHeight="1" x14ac:dyDescent="0.25">
      <c r="A619" s="126"/>
      <c r="B619" s="1"/>
      <c r="E619" s="1"/>
      <c r="F619" s="1"/>
      <c r="H619" s="1"/>
      <c r="K619" s="1"/>
      <c r="M619" s="1"/>
    </row>
    <row r="620" spans="1:13" ht="26.25" customHeight="1" x14ac:dyDescent="0.25">
      <c r="A620" s="126"/>
      <c r="B620" s="1"/>
      <c r="E620" s="1"/>
      <c r="F620" s="1"/>
      <c r="H620" s="1"/>
      <c r="K620" s="1"/>
      <c r="M620" s="1"/>
    </row>
    <row r="621" spans="1:13" ht="26.25" customHeight="1" x14ac:dyDescent="0.25">
      <c r="A621" s="126"/>
      <c r="B621" s="1"/>
      <c r="E621" s="1"/>
      <c r="F621" s="1"/>
      <c r="H621" s="1"/>
      <c r="K621" s="1"/>
      <c r="M621" s="1"/>
    </row>
    <row r="622" spans="1:13" ht="26.25" customHeight="1" x14ac:dyDescent="0.25">
      <c r="A622" s="126"/>
      <c r="B622" s="1"/>
      <c r="E622" s="1"/>
      <c r="F622" s="1"/>
      <c r="H622" s="1"/>
      <c r="K622" s="1"/>
      <c r="M622" s="1"/>
    </row>
    <row r="623" spans="1:13" ht="26.25" customHeight="1" x14ac:dyDescent="0.25">
      <c r="A623" s="126"/>
      <c r="B623" s="1"/>
      <c r="E623" s="1"/>
      <c r="F623" s="1"/>
      <c r="H623" s="1"/>
      <c r="K623" s="1"/>
      <c r="M623" s="1"/>
    </row>
    <row r="624" spans="1:13" ht="26.25" customHeight="1" x14ac:dyDescent="0.25">
      <c r="A624" s="126"/>
      <c r="B624" s="1"/>
      <c r="E624" s="1"/>
      <c r="F624" s="1"/>
      <c r="H624" s="1"/>
      <c r="K624" s="1"/>
      <c r="M624" s="1"/>
    </row>
    <row r="625" spans="1:13" ht="26.25" customHeight="1" x14ac:dyDescent="0.25">
      <c r="A625" s="126"/>
      <c r="B625" s="1"/>
      <c r="E625" s="1"/>
      <c r="F625" s="1"/>
      <c r="H625" s="1"/>
      <c r="K625" s="1"/>
      <c r="M625" s="1"/>
    </row>
    <row r="626" spans="1:13" ht="26.25" customHeight="1" x14ac:dyDescent="0.25">
      <c r="A626" s="126"/>
      <c r="B626" s="1"/>
      <c r="E626" s="1"/>
      <c r="F626" s="1"/>
      <c r="H626" s="1"/>
      <c r="K626" s="1"/>
      <c r="M626" s="1"/>
    </row>
    <row r="627" spans="1:13" ht="26.25" customHeight="1" x14ac:dyDescent="0.25">
      <c r="A627" s="126"/>
      <c r="B627" s="1"/>
      <c r="E627" s="1"/>
      <c r="F627" s="1"/>
      <c r="H627" s="1"/>
      <c r="K627" s="1"/>
      <c r="M627" s="1"/>
    </row>
    <row r="628" spans="1:13" ht="26.25" customHeight="1" x14ac:dyDescent="0.25">
      <c r="A628" s="126"/>
      <c r="B628" s="1"/>
      <c r="E628" s="1"/>
      <c r="F628" s="1"/>
      <c r="H628" s="1"/>
      <c r="K628" s="1"/>
      <c r="M628" s="1"/>
    </row>
    <row r="629" spans="1:13" ht="26.25" customHeight="1" x14ac:dyDescent="0.25">
      <c r="A629" s="126"/>
      <c r="B629" s="1"/>
      <c r="E629" s="1"/>
      <c r="F629" s="1"/>
      <c r="H629" s="1"/>
      <c r="K629" s="1"/>
      <c r="M629" s="1"/>
    </row>
    <row r="630" spans="1:13" ht="26.25" customHeight="1" x14ac:dyDescent="0.25">
      <c r="A630" s="126"/>
      <c r="B630" s="1"/>
      <c r="E630" s="1"/>
      <c r="F630" s="1"/>
      <c r="H630" s="1"/>
      <c r="K630" s="1"/>
      <c r="M630" s="1"/>
    </row>
    <row r="631" spans="1:13" ht="26.25" customHeight="1" x14ac:dyDescent="0.25">
      <c r="A631" s="126"/>
      <c r="B631" s="1"/>
      <c r="E631" s="1"/>
      <c r="F631" s="1"/>
      <c r="H631" s="1"/>
      <c r="K631" s="1"/>
      <c r="M631" s="1"/>
    </row>
    <row r="632" spans="1:13" ht="26.25" customHeight="1" x14ac:dyDescent="0.25">
      <c r="A632" s="126"/>
      <c r="B632" s="1"/>
      <c r="E632" s="1"/>
      <c r="F632" s="1"/>
      <c r="H632" s="1"/>
      <c r="K632" s="1"/>
      <c r="M632" s="1"/>
    </row>
    <row r="633" spans="1:13" ht="26.25" customHeight="1" x14ac:dyDescent="0.25">
      <c r="A633" s="126"/>
      <c r="B633" s="1"/>
      <c r="E633" s="1"/>
      <c r="F633" s="1"/>
      <c r="H633" s="1"/>
      <c r="K633" s="1"/>
      <c r="M633" s="1"/>
    </row>
    <row r="634" spans="1:13" ht="26.25" customHeight="1" x14ac:dyDescent="0.25">
      <c r="A634" s="126"/>
      <c r="B634" s="1"/>
      <c r="E634" s="1"/>
      <c r="F634" s="1"/>
      <c r="H634" s="1"/>
      <c r="K634" s="1"/>
      <c r="M634" s="1"/>
    </row>
    <row r="635" spans="1:13" ht="26.25" customHeight="1" x14ac:dyDescent="0.25">
      <c r="A635" s="126"/>
      <c r="B635" s="1"/>
      <c r="E635" s="1"/>
      <c r="F635" s="1"/>
      <c r="H635" s="1"/>
      <c r="K635" s="1"/>
      <c r="M635" s="1"/>
    </row>
    <row r="636" spans="1:13" ht="26.25" customHeight="1" x14ac:dyDescent="0.25">
      <c r="A636" s="126"/>
      <c r="B636" s="1"/>
      <c r="E636" s="1"/>
      <c r="F636" s="1"/>
      <c r="H636" s="1"/>
      <c r="K636" s="1"/>
      <c r="M636" s="1"/>
    </row>
    <row r="637" spans="1:13" ht="26.25" customHeight="1" x14ac:dyDescent="0.25">
      <c r="A637" s="126"/>
      <c r="B637" s="1"/>
      <c r="E637" s="1"/>
      <c r="F637" s="1"/>
      <c r="H637" s="1"/>
      <c r="K637" s="1"/>
      <c r="M637" s="1"/>
    </row>
    <row r="638" spans="1:13" ht="26.25" customHeight="1" x14ac:dyDescent="0.25">
      <c r="A638" s="126"/>
      <c r="B638" s="1"/>
      <c r="E638" s="1"/>
      <c r="F638" s="1"/>
      <c r="H638" s="1"/>
      <c r="K638" s="1"/>
      <c r="M638" s="1"/>
    </row>
    <row r="639" spans="1:13" ht="26.25" customHeight="1" x14ac:dyDescent="0.25">
      <c r="A639" s="126"/>
      <c r="B639" s="1"/>
      <c r="E639" s="1"/>
      <c r="F639" s="1"/>
      <c r="H639" s="1"/>
      <c r="K639" s="1"/>
      <c r="M639" s="1"/>
    </row>
    <row r="640" spans="1:13" ht="26.25" customHeight="1" x14ac:dyDescent="0.25">
      <c r="A640" s="126"/>
      <c r="B640" s="1"/>
      <c r="E640" s="1"/>
      <c r="F640" s="1"/>
      <c r="H640" s="1"/>
      <c r="K640" s="1"/>
      <c r="M640" s="1"/>
    </row>
    <row r="641" spans="1:13" ht="26.25" customHeight="1" x14ac:dyDescent="0.25">
      <c r="A641" s="126"/>
      <c r="B641" s="1"/>
      <c r="E641" s="1"/>
      <c r="F641" s="1"/>
      <c r="H641" s="1"/>
      <c r="K641" s="1"/>
      <c r="M641" s="1"/>
    </row>
    <row r="642" spans="1:13" ht="26.25" customHeight="1" x14ac:dyDescent="0.25">
      <c r="A642" s="126"/>
      <c r="B642" s="1"/>
      <c r="E642" s="1"/>
      <c r="F642" s="1"/>
      <c r="H642" s="1"/>
      <c r="K642" s="1"/>
      <c r="M642" s="1"/>
    </row>
    <row r="643" spans="1:13" ht="26.25" customHeight="1" x14ac:dyDescent="0.25">
      <c r="A643" s="126"/>
      <c r="B643" s="1"/>
      <c r="E643" s="1"/>
      <c r="F643" s="1"/>
      <c r="H643" s="1"/>
      <c r="K643" s="1"/>
      <c r="M643" s="1"/>
    </row>
    <row r="644" spans="1:13" ht="26.25" customHeight="1" x14ac:dyDescent="0.25">
      <c r="A644" s="126"/>
      <c r="B644" s="1"/>
      <c r="E644" s="1"/>
      <c r="F644" s="1"/>
      <c r="H644" s="1"/>
      <c r="K644" s="1"/>
      <c r="M644" s="1"/>
    </row>
    <row r="645" spans="1:13" ht="26.25" customHeight="1" x14ac:dyDescent="0.25">
      <c r="A645" s="126"/>
      <c r="B645" s="1"/>
      <c r="E645" s="1"/>
      <c r="F645" s="1"/>
      <c r="H645" s="1"/>
      <c r="K645" s="1"/>
      <c r="M645" s="1"/>
    </row>
    <row r="646" spans="1:13" ht="26.25" customHeight="1" x14ac:dyDescent="0.25">
      <c r="A646" s="126"/>
      <c r="B646" s="1"/>
      <c r="E646" s="1"/>
      <c r="F646" s="1"/>
      <c r="H646" s="1"/>
      <c r="K646" s="1"/>
      <c r="M646" s="1"/>
    </row>
    <row r="647" spans="1:13" ht="26.25" customHeight="1" x14ac:dyDescent="0.25">
      <c r="A647" s="126"/>
      <c r="B647" s="1"/>
      <c r="E647" s="1"/>
      <c r="F647" s="1"/>
      <c r="H647" s="1"/>
      <c r="K647" s="1"/>
      <c r="M647" s="1"/>
    </row>
    <row r="648" spans="1:13" ht="26.25" customHeight="1" x14ac:dyDescent="0.25">
      <c r="A648" s="126"/>
      <c r="B648" s="1"/>
      <c r="E648" s="1"/>
      <c r="F648" s="1"/>
      <c r="H648" s="1"/>
      <c r="K648" s="1"/>
      <c r="M648" s="1"/>
    </row>
    <row r="649" spans="1:13" ht="26.25" customHeight="1" x14ac:dyDescent="0.25">
      <c r="A649" s="126"/>
      <c r="B649" s="1"/>
      <c r="E649" s="1"/>
      <c r="F649" s="1"/>
      <c r="H649" s="1"/>
      <c r="K649" s="1"/>
      <c r="M649" s="1"/>
    </row>
    <row r="650" spans="1:13" ht="26.25" customHeight="1" x14ac:dyDescent="0.25">
      <c r="A650" s="126"/>
      <c r="B650" s="1"/>
      <c r="E650" s="1"/>
      <c r="F650" s="1"/>
      <c r="H650" s="1"/>
      <c r="K650" s="1"/>
      <c r="M650" s="1"/>
    </row>
    <row r="651" spans="1:13" ht="26.25" customHeight="1" x14ac:dyDescent="0.25">
      <c r="A651" s="126"/>
      <c r="B651" s="1"/>
      <c r="E651" s="1"/>
      <c r="F651" s="1"/>
      <c r="H651" s="1"/>
      <c r="K651" s="1"/>
      <c r="M651" s="1"/>
    </row>
    <row r="652" spans="1:13" ht="26.25" customHeight="1" x14ac:dyDescent="0.25">
      <c r="A652" s="126"/>
      <c r="B652" s="1"/>
      <c r="E652" s="1"/>
      <c r="F652" s="1"/>
      <c r="H652" s="1"/>
      <c r="K652" s="1"/>
      <c r="M652" s="1"/>
    </row>
    <row r="653" spans="1:13" ht="26.25" customHeight="1" x14ac:dyDescent="0.25">
      <c r="A653" s="126"/>
      <c r="B653" s="1"/>
      <c r="E653" s="1"/>
      <c r="F653" s="1"/>
      <c r="H653" s="1"/>
      <c r="K653" s="1"/>
      <c r="M653" s="1"/>
    </row>
    <row r="654" spans="1:13" ht="26.25" customHeight="1" x14ac:dyDescent="0.25">
      <c r="A654" s="126"/>
      <c r="B654" s="1"/>
      <c r="E654" s="1"/>
      <c r="F654" s="1"/>
      <c r="H654" s="1"/>
      <c r="K654" s="1"/>
      <c r="M654" s="1"/>
    </row>
    <row r="655" spans="1:13" ht="26.25" customHeight="1" x14ac:dyDescent="0.25">
      <c r="A655" s="126"/>
      <c r="B655" s="1"/>
      <c r="E655" s="1"/>
      <c r="F655" s="1"/>
      <c r="H655" s="1"/>
      <c r="K655" s="1"/>
      <c r="M655" s="1"/>
    </row>
    <row r="656" spans="1:13" ht="26.25" customHeight="1" x14ac:dyDescent="0.25">
      <c r="A656" s="126"/>
      <c r="B656" s="1"/>
      <c r="E656" s="1"/>
      <c r="F656" s="1"/>
      <c r="H656" s="1"/>
      <c r="K656" s="1"/>
      <c r="M656" s="1"/>
    </row>
    <row r="657" spans="1:13" ht="26.25" customHeight="1" x14ac:dyDescent="0.25">
      <c r="A657" s="126"/>
      <c r="B657" s="1"/>
      <c r="E657" s="1"/>
      <c r="F657" s="1"/>
      <c r="H657" s="1"/>
      <c r="K657" s="1"/>
      <c r="M657" s="1"/>
    </row>
    <row r="658" spans="1:13" ht="26.25" customHeight="1" x14ac:dyDescent="0.25">
      <c r="A658" s="126"/>
      <c r="B658" s="1"/>
      <c r="E658" s="1"/>
      <c r="F658" s="1"/>
      <c r="H658" s="1"/>
      <c r="K658" s="1"/>
      <c r="M658" s="1"/>
    </row>
    <row r="659" spans="1:13" ht="26.25" customHeight="1" x14ac:dyDescent="0.25">
      <c r="A659" s="126"/>
      <c r="B659" s="1"/>
      <c r="E659" s="1"/>
      <c r="F659" s="1"/>
      <c r="H659" s="1"/>
      <c r="K659" s="1"/>
      <c r="M659" s="1"/>
    </row>
    <row r="660" spans="1:13" ht="26.25" customHeight="1" x14ac:dyDescent="0.25">
      <c r="A660" s="126"/>
      <c r="B660" s="1"/>
      <c r="E660" s="1"/>
      <c r="F660" s="1"/>
      <c r="H660" s="1"/>
      <c r="K660" s="1"/>
      <c r="M660" s="1"/>
    </row>
    <row r="661" spans="1:13" ht="26.25" customHeight="1" x14ac:dyDescent="0.25">
      <c r="A661" s="126"/>
      <c r="B661" s="1"/>
      <c r="E661" s="1"/>
      <c r="F661" s="1"/>
      <c r="H661" s="1"/>
      <c r="K661" s="1"/>
      <c r="M661" s="1"/>
    </row>
    <row r="662" spans="1:13" ht="26.25" customHeight="1" x14ac:dyDescent="0.25">
      <c r="A662" s="126"/>
      <c r="B662" s="1"/>
      <c r="E662" s="1"/>
      <c r="F662" s="1"/>
      <c r="H662" s="1"/>
      <c r="K662" s="1"/>
      <c r="M662" s="1"/>
    </row>
    <row r="663" spans="1:13" ht="26.25" customHeight="1" x14ac:dyDescent="0.25">
      <c r="A663" s="126"/>
      <c r="B663" s="1"/>
      <c r="E663" s="1"/>
      <c r="F663" s="1"/>
      <c r="H663" s="1"/>
      <c r="K663" s="1"/>
      <c r="M663" s="1"/>
    </row>
    <row r="664" spans="1:13" ht="26.25" customHeight="1" x14ac:dyDescent="0.25">
      <c r="A664" s="126"/>
      <c r="B664" s="1"/>
      <c r="E664" s="1"/>
      <c r="F664" s="1"/>
      <c r="H664" s="1"/>
      <c r="K664" s="1"/>
      <c r="M664" s="1"/>
    </row>
    <row r="665" spans="1:13" ht="26.25" customHeight="1" x14ac:dyDescent="0.25">
      <c r="A665" s="126"/>
      <c r="B665" s="1"/>
      <c r="E665" s="1"/>
      <c r="F665" s="1"/>
      <c r="H665" s="1"/>
      <c r="K665" s="1"/>
      <c r="M665" s="1"/>
    </row>
    <row r="666" spans="1:13" ht="26.25" customHeight="1" x14ac:dyDescent="0.25">
      <c r="A666" s="126"/>
      <c r="B666" s="1"/>
      <c r="E666" s="1"/>
      <c r="F666" s="1"/>
      <c r="H666" s="1"/>
      <c r="K666" s="1"/>
      <c r="M666" s="1"/>
    </row>
    <row r="667" spans="1:13" ht="26.25" customHeight="1" x14ac:dyDescent="0.25">
      <c r="A667" s="126"/>
      <c r="B667" s="1"/>
      <c r="E667" s="1"/>
      <c r="F667" s="1"/>
      <c r="H667" s="1"/>
      <c r="K667" s="1"/>
      <c r="M667" s="1"/>
    </row>
    <row r="668" spans="1:13" ht="26.25" customHeight="1" x14ac:dyDescent="0.25">
      <c r="A668" s="126"/>
      <c r="B668" s="1"/>
      <c r="E668" s="1"/>
      <c r="F668" s="1"/>
      <c r="H668" s="1"/>
      <c r="K668" s="1"/>
      <c r="M668" s="1"/>
    </row>
    <row r="669" spans="1:13" ht="26.25" customHeight="1" x14ac:dyDescent="0.25">
      <c r="A669" s="126"/>
      <c r="B669" s="1"/>
      <c r="E669" s="1"/>
      <c r="F669" s="1"/>
      <c r="H669" s="1"/>
      <c r="K669" s="1"/>
      <c r="M669" s="1"/>
    </row>
    <row r="670" spans="1:13" ht="26.25" customHeight="1" x14ac:dyDescent="0.25">
      <c r="A670" s="126"/>
      <c r="B670" s="1"/>
      <c r="E670" s="1"/>
      <c r="F670" s="1"/>
      <c r="H670" s="1"/>
      <c r="K670" s="1"/>
      <c r="M670" s="1"/>
    </row>
    <row r="671" spans="1:13" ht="26.25" customHeight="1" x14ac:dyDescent="0.25">
      <c r="A671" s="126"/>
      <c r="B671" s="1"/>
      <c r="E671" s="1"/>
      <c r="F671" s="1"/>
      <c r="H671" s="1"/>
      <c r="K671" s="1"/>
      <c r="M671" s="1"/>
    </row>
    <row r="672" spans="1:13" ht="26.25" customHeight="1" x14ac:dyDescent="0.25">
      <c r="A672" s="126"/>
      <c r="B672" s="1"/>
      <c r="E672" s="1"/>
      <c r="F672" s="1"/>
      <c r="H672" s="1"/>
      <c r="K672" s="1"/>
      <c r="M672" s="1"/>
    </row>
    <row r="673" spans="1:13" ht="26.25" customHeight="1" x14ac:dyDescent="0.25">
      <c r="A673" s="126"/>
      <c r="B673" s="1"/>
      <c r="E673" s="1"/>
      <c r="F673" s="1"/>
      <c r="H673" s="1"/>
      <c r="K673" s="1"/>
      <c r="M673" s="1"/>
    </row>
    <row r="674" spans="1:13" ht="26.25" customHeight="1" x14ac:dyDescent="0.25">
      <c r="A674" s="126"/>
      <c r="B674" s="1"/>
      <c r="E674" s="1"/>
      <c r="F674" s="1"/>
      <c r="H674" s="1"/>
      <c r="K674" s="1"/>
      <c r="M674" s="1"/>
    </row>
    <row r="675" spans="1:13" ht="26.25" customHeight="1" x14ac:dyDescent="0.25">
      <c r="A675" s="126"/>
      <c r="B675" s="1"/>
      <c r="E675" s="1"/>
      <c r="F675" s="1"/>
      <c r="H675" s="1"/>
      <c r="K675" s="1"/>
      <c r="M675" s="1"/>
    </row>
    <row r="676" spans="1:13" ht="26.25" customHeight="1" x14ac:dyDescent="0.25">
      <c r="A676" s="126"/>
      <c r="B676" s="1"/>
      <c r="E676" s="1"/>
      <c r="F676" s="1"/>
      <c r="H676" s="1"/>
      <c r="K676" s="1"/>
      <c r="M676" s="1"/>
    </row>
    <row r="677" spans="1:13" ht="26.25" customHeight="1" x14ac:dyDescent="0.25">
      <c r="A677" s="126"/>
      <c r="B677" s="1"/>
      <c r="E677" s="1"/>
      <c r="F677" s="1"/>
      <c r="H677" s="1"/>
      <c r="K677" s="1"/>
      <c r="M677" s="1"/>
    </row>
    <row r="678" spans="1:13" ht="26.25" customHeight="1" x14ac:dyDescent="0.25">
      <c r="A678" s="126"/>
      <c r="B678" s="1"/>
      <c r="E678" s="1"/>
      <c r="F678" s="1"/>
      <c r="H678" s="1"/>
      <c r="K678" s="1"/>
      <c r="M678" s="1"/>
    </row>
    <row r="679" spans="1:13" ht="26.25" customHeight="1" x14ac:dyDescent="0.25">
      <c r="A679" s="126"/>
      <c r="B679" s="1"/>
      <c r="E679" s="1"/>
      <c r="F679" s="1"/>
      <c r="H679" s="1"/>
      <c r="K679" s="1"/>
      <c r="M679" s="1"/>
    </row>
    <row r="680" spans="1:13" ht="26.25" customHeight="1" x14ac:dyDescent="0.25">
      <c r="A680" s="126"/>
      <c r="B680" s="1"/>
      <c r="E680" s="1"/>
      <c r="F680" s="1"/>
      <c r="H680" s="1"/>
      <c r="K680" s="1"/>
      <c r="M680" s="1"/>
    </row>
    <row r="681" spans="1:13" ht="26.25" customHeight="1" x14ac:dyDescent="0.25">
      <c r="A681" s="126"/>
      <c r="B681" s="1"/>
      <c r="E681" s="1"/>
      <c r="F681" s="1"/>
      <c r="H681" s="1"/>
      <c r="K681" s="1"/>
      <c r="M681" s="1"/>
    </row>
    <row r="682" spans="1:13" ht="26.25" customHeight="1" x14ac:dyDescent="0.25">
      <c r="A682" s="126"/>
      <c r="B682" s="1"/>
      <c r="E682" s="1"/>
      <c r="F682" s="1"/>
      <c r="H682" s="1"/>
      <c r="K682" s="1"/>
      <c r="M682" s="1"/>
    </row>
    <row r="683" spans="1:13" ht="26.25" customHeight="1" x14ac:dyDescent="0.25">
      <c r="A683" s="126"/>
      <c r="B683" s="1"/>
      <c r="E683" s="1"/>
      <c r="F683" s="1"/>
      <c r="H683" s="1"/>
      <c r="K683" s="1"/>
      <c r="M683" s="1"/>
    </row>
    <row r="684" spans="1:13" ht="26.25" customHeight="1" x14ac:dyDescent="0.25">
      <c r="A684" s="126"/>
      <c r="B684" s="1"/>
      <c r="E684" s="1"/>
      <c r="F684" s="1"/>
      <c r="H684" s="1"/>
      <c r="K684" s="1"/>
      <c r="M684" s="1"/>
    </row>
    <row r="685" spans="1:13" ht="26.25" customHeight="1" x14ac:dyDescent="0.25">
      <c r="A685" s="126"/>
      <c r="B685" s="1"/>
      <c r="E685" s="1"/>
      <c r="F685" s="1"/>
      <c r="H685" s="1"/>
      <c r="K685" s="1"/>
      <c r="M685" s="1"/>
    </row>
    <row r="686" spans="1:13" ht="26.25" customHeight="1" x14ac:dyDescent="0.25">
      <c r="A686" s="126"/>
      <c r="B686" s="1"/>
      <c r="E686" s="1"/>
      <c r="F686" s="1"/>
      <c r="H686" s="1"/>
      <c r="K686" s="1"/>
      <c r="M686" s="1"/>
    </row>
    <row r="687" spans="1:13" ht="26.25" customHeight="1" x14ac:dyDescent="0.25">
      <c r="A687" s="126"/>
      <c r="B687" s="1"/>
      <c r="E687" s="1"/>
      <c r="F687" s="1"/>
      <c r="H687" s="1"/>
      <c r="K687" s="1"/>
      <c r="M687" s="1"/>
    </row>
    <row r="688" spans="1:13" ht="26.25" customHeight="1" x14ac:dyDescent="0.25">
      <c r="A688" s="126"/>
      <c r="B688" s="1"/>
      <c r="E688" s="1"/>
      <c r="F688" s="1"/>
      <c r="H688" s="1"/>
      <c r="K688" s="1"/>
      <c r="M688" s="1"/>
    </row>
    <row r="689" spans="1:13" ht="26.25" customHeight="1" x14ac:dyDescent="0.25">
      <c r="A689" s="126"/>
      <c r="B689" s="1"/>
      <c r="E689" s="1"/>
      <c r="F689" s="1"/>
      <c r="H689" s="1"/>
      <c r="K689" s="1"/>
      <c r="M689" s="1"/>
    </row>
    <row r="690" spans="1:13" ht="26.25" customHeight="1" x14ac:dyDescent="0.25">
      <c r="A690" s="126"/>
      <c r="B690" s="1"/>
      <c r="E690" s="1"/>
      <c r="F690" s="1"/>
      <c r="H690" s="1"/>
      <c r="K690" s="1"/>
      <c r="M690" s="1"/>
    </row>
    <row r="691" spans="1:13" ht="26.25" customHeight="1" x14ac:dyDescent="0.25">
      <c r="A691" s="126"/>
      <c r="B691" s="1"/>
      <c r="E691" s="1"/>
      <c r="F691" s="1"/>
      <c r="H691" s="1"/>
      <c r="K691" s="1"/>
      <c r="M691" s="1"/>
    </row>
    <row r="692" spans="1:13" ht="26.25" customHeight="1" x14ac:dyDescent="0.25">
      <c r="A692" s="126"/>
      <c r="B692" s="1"/>
      <c r="E692" s="1"/>
      <c r="F692" s="1"/>
      <c r="H692" s="1"/>
      <c r="K692" s="1"/>
      <c r="M692" s="1"/>
    </row>
    <row r="693" spans="1:13" ht="26.25" customHeight="1" x14ac:dyDescent="0.25">
      <c r="A693" s="126"/>
      <c r="B693" s="1"/>
      <c r="E693" s="1"/>
      <c r="F693" s="1"/>
      <c r="H693" s="1"/>
      <c r="K693" s="1"/>
      <c r="M693" s="1"/>
    </row>
    <row r="694" spans="1:13" ht="26.25" customHeight="1" x14ac:dyDescent="0.25">
      <c r="A694" s="126"/>
      <c r="B694" s="1"/>
      <c r="E694" s="1"/>
      <c r="F694" s="1"/>
      <c r="H694" s="1"/>
      <c r="K694" s="1"/>
      <c r="M694" s="1"/>
    </row>
    <row r="695" spans="1:13" ht="26.25" customHeight="1" x14ac:dyDescent="0.25">
      <c r="A695" s="126"/>
      <c r="B695" s="1"/>
      <c r="E695" s="1"/>
      <c r="F695" s="1"/>
      <c r="H695" s="1"/>
      <c r="K695" s="1"/>
      <c r="M695" s="1"/>
    </row>
    <row r="696" spans="1:13" ht="26.25" customHeight="1" x14ac:dyDescent="0.25">
      <c r="A696" s="126"/>
      <c r="B696" s="1"/>
      <c r="E696" s="1"/>
      <c r="F696" s="1"/>
      <c r="H696" s="1"/>
      <c r="K696" s="1"/>
      <c r="M696" s="1"/>
    </row>
    <row r="697" spans="1:13" ht="26.25" customHeight="1" x14ac:dyDescent="0.25">
      <c r="A697" s="126"/>
      <c r="B697" s="1"/>
      <c r="E697" s="1"/>
      <c r="F697" s="1"/>
      <c r="H697" s="1"/>
      <c r="K697" s="1"/>
      <c r="M697" s="1"/>
    </row>
    <row r="698" spans="1:13" ht="26.25" customHeight="1" x14ac:dyDescent="0.25">
      <c r="A698" s="126"/>
      <c r="B698" s="1"/>
      <c r="E698" s="1"/>
      <c r="F698" s="1"/>
      <c r="H698" s="1"/>
      <c r="K698" s="1"/>
      <c r="M698" s="1"/>
    </row>
    <row r="699" spans="1:13" ht="26.25" customHeight="1" x14ac:dyDescent="0.25">
      <c r="A699" s="126"/>
      <c r="B699" s="1"/>
      <c r="E699" s="1"/>
      <c r="F699" s="1"/>
      <c r="H699" s="1"/>
      <c r="K699" s="1"/>
      <c r="M699" s="1"/>
    </row>
    <row r="700" spans="1:13" ht="26.25" customHeight="1" x14ac:dyDescent="0.25">
      <c r="A700" s="126"/>
      <c r="B700" s="1"/>
      <c r="E700" s="1"/>
      <c r="F700" s="1"/>
      <c r="H700" s="1"/>
      <c r="K700" s="1"/>
      <c r="M700" s="1"/>
    </row>
    <row r="701" spans="1:13" ht="26.25" customHeight="1" x14ac:dyDescent="0.25">
      <c r="A701" s="126"/>
      <c r="B701" s="1"/>
      <c r="E701" s="1"/>
      <c r="F701" s="1"/>
      <c r="H701" s="1"/>
      <c r="K701" s="1"/>
      <c r="M701" s="1"/>
    </row>
    <row r="702" spans="1:13" ht="26.25" customHeight="1" x14ac:dyDescent="0.25">
      <c r="A702" s="126"/>
      <c r="B702" s="1"/>
      <c r="E702" s="1"/>
      <c r="F702" s="1"/>
      <c r="H702" s="1"/>
      <c r="K702" s="1"/>
      <c r="M702" s="1"/>
    </row>
    <row r="703" spans="1:13" ht="26.25" customHeight="1" x14ac:dyDescent="0.25">
      <c r="A703" s="126"/>
      <c r="B703" s="1"/>
      <c r="E703" s="1"/>
      <c r="F703" s="1"/>
      <c r="H703" s="1"/>
      <c r="K703" s="1"/>
      <c r="M703" s="1"/>
    </row>
    <row r="704" spans="1:13" ht="26.25" customHeight="1" x14ac:dyDescent="0.25">
      <c r="A704" s="126"/>
      <c r="B704" s="1"/>
      <c r="E704" s="1"/>
      <c r="F704" s="1"/>
      <c r="H704" s="1"/>
      <c r="K704" s="1"/>
      <c r="M704" s="1"/>
    </row>
    <row r="705" spans="1:13" ht="26.25" customHeight="1" x14ac:dyDescent="0.25">
      <c r="A705" s="126"/>
      <c r="B705" s="1"/>
      <c r="E705" s="1"/>
      <c r="F705" s="1"/>
      <c r="H705" s="1"/>
      <c r="K705" s="1"/>
      <c r="M705" s="1"/>
    </row>
    <row r="706" spans="1:13" ht="26.25" customHeight="1" x14ac:dyDescent="0.25">
      <c r="A706" s="126"/>
      <c r="B706" s="1"/>
      <c r="E706" s="1"/>
      <c r="F706" s="1"/>
      <c r="H706" s="1"/>
      <c r="K706" s="1"/>
      <c r="M706" s="1"/>
    </row>
    <row r="707" spans="1:13" ht="26.25" customHeight="1" x14ac:dyDescent="0.25">
      <c r="A707" s="126"/>
      <c r="B707" s="1"/>
      <c r="E707" s="1"/>
      <c r="F707" s="1"/>
      <c r="H707" s="1"/>
      <c r="K707" s="1"/>
      <c r="M707" s="1"/>
    </row>
    <row r="708" spans="1:13" ht="26.25" customHeight="1" x14ac:dyDescent="0.25">
      <c r="A708" s="126"/>
      <c r="B708" s="1"/>
      <c r="E708" s="1"/>
      <c r="F708" s="1"/>
      <c r="H708" s="1"/>
      <c r="K708" s="1"/>
      <c r="M708" s="1"/>
    </row>
    <row r="709" spans="1:13" ht="26.25" customHeight="1" x14ac:dyDescent="0.25">
      <c r="A709" s="126"/>
      <c r="B709" s="1"/>
      <c r="E709" s="1"/>
      <c r="F709" s="1"/>
      <c r="H709" s="1"/>
      <c r="K709" s="1"/>
      <c r="M709" s="1"/>
    </row>
    <row r="710" spans="1:13" ht="26.25" customHeight="1" x14ac:dyDescent="0.25">
      <c r="A710" s="126"/>
      <c r="B710" s="1"/>
      <c r="E710" s="1"/>
      <c r="F710" s="1"/>
      <c r="H710" s="1"/>
      <c r="K710" s="1"/>
      <c r="M710" s="1"/>
    </row>
    <row r="711" spans="1:13" ht="26.25" customHeight="1" x14ac:dyDescent="0.25">
      <c r="A711" s="126"/>
      <c r="B711" s="1"/>
      <c r="E711" s="1"/>
      <c r="F711" s="1"/>
      <c r="H711" s="1"/>
      <c r="K711" s="1"/>
      <c r="M711" s="1"/>
    </row>
    <row r="712" spans="1:13" ht="26.25" customHeight="1" x14ac:dyDescent="0.25">
      <c r="A712" s="126"/>
      <c r="B712" s="1"/>
      <c r="E712" s="1"/>
      <c r="F712" s="1"/>
      <c r="H712" s="1"/>
      <c r="K712" s="1"/>
      <c r="M712" s="1"/>
    </row>
    <row r="713" spans="1:13" ht="26.25" customHeight="1" x14ac:dyDescent="0.25">
      <c r="A713" s="126"/>
      <c r="B713" s="1"/>
      <c r="E713" s="1"/>
      <c r="F713" s="1"/>
      <c r="H713" s="1"/>
      <c r="K713" s="1"/>
      <c r="M713" s="1"/>
    </row>
    <row r="714" spans="1:13" ht="26.25" customHeight="1" x14ac:dyDescent="0.25">
      <c r="A714" s="126"/>
      <c r="B714" s="1"/>
      <c r="E714" s="1"/>
      <c r="F714" s="1"/>
      <c r="H714" s="1"/>
      <c r="K714" s="1"/>
      <c r="M714" s="1"/>
    </row>
    <row r="715" spans="1:13" ht="26.25" customHeight="1" x14ac:dyDescent="0.25">
      <c r="A715" s="126"/>
      <c r="B715" s="1"/>
      <c r="E715" s="1"/>
      <c r="F715" s="1"/>
      <c r="H715" s="1"/>
      <c r="K715" s="1"/>
      <c r="M715" s="1"/>
    </row>
    <row r="716" spans="1:13" ht="26.25" customHeight="1" x14ac:dyDescent="0.25">
      <c r="A716" s="126"/>
      <c r="B716" s="1"/>
      <c r="E716" s="1"/>
      <c r="F716" s="1"/>
      <c r="H716" s="1"/>
      <c r="K716" s="1"/>
      <c r="M716" s="1"/>
    </row>
    <row r="717" spans="1:13" ht="26.25" customHeight="1" x14ac:dyDescent="0.25">
      <c r="A717" s="126"/>
      <c r="B717" s="1"/>
      <c r="E717" s="1"/>
      <c r="F717" s="1"/>
      <c r="H717" s="1"/>
      <c r="K717" s="1"/>
      <c r="M717" s="1"/>
    </row>
    <row r="718" spans="1:13" ht="26.25" customHeight="1" x14ac:dyDescent="0.25">
      <c r="A718" s="126"/>
      <c r="B718" s="1"/>
      <c r="E718" s="1"/>
      <c r="F718" s="1"/>
      <c r="H718" s="1"/>
      <c r="K718" s="1"/>
      <c r="M718" s="1"/>
    </row>
    <row r="719" spans="1:13" ht="26.25" customHeight="1" x14ac:dyDescent="0.25">
      <c r="A719" s="126"/>
      <c r="B719" s="1"/>
      <c r="E719" s="1"/>
      <c r="F719" s="1"/>
      <c r="H719" s="1"/>
      <c r="K719" s="1"/>
      <c r="M719" s="1"/>
    </row>
    <row r="720" spans="1:13" ht="26.25" customHeight="1" x14ac:dyDescent="0.25">
      <c r="A720" s="126"/>
      <c r="B720" s="1"/>
      <c r="E720" s="1"/>
      <c r="F720" s="1"/>
      <c r="H720" s="1"/>
      <c r="K720" s="1"/>
      <c r="M720" s="1"/>
    </row>
    <row r="721" spans="1:13" ht="26.25" customHeight="1" x14ac:dyDescent="0.25">
      <c r="A721" s="126"/>
      <c r="B721" s="1"/>
      <c r="E721" s="1"/>
      <c r="F721" s="1"/>
      <c r="H721" s="1"/>
      <c r="K721" s="1"/>
      <c r="M721" s="1"/>
    </row>
    <row r="722" spans="1:13" ht="26.25" customHeight="1" x14ac:dyDescent="0.25">
      <c r="A722" s="126"/>
      <c r="B722" s="1"/>
      <c r="E722" s="1"/>
      <c r="F722" s="1"/>
      <c r="H722" s="1"/>
      <c r="K722" s="1"/>
      <c r="M722" s="1"/>
    </row>
    <row r="723" spans="1:13" ht="26.25" customHeight="1" x14ac:dyDescent="0.25">
      <c r="A723" s="126"/>
      <c r="B723" s="1"/>
      <c r="E723" s="1"/>
      <c r="F723" s="1"/>
      <c r="H723" s="1"/>
      <c r="K723" s="1"/>
      <c r="M723" s="1"/>
    </row>
    <row r="724" spans="1:13" ht="26.25" customHeight="1" x14ac:dyDescent="0.25">
      <c r="A724" s="126"/>
      <c r="B724" s="1"/>
      <c r="E724" s="1"/>
      <c r="F724" s="1"/>
      <c r="H724" s="1"/>
      <c r="K724" s="1"/>
      <c r="M724" s="1"/>
    </row>
    <row r="725" spans="1:13" ht="26.25" customHeight="1" x14ac:dyDescent="0.25">
      <c r="A725" s="126"/>
      <c r="B725" s="1"/>
      <c r="E725" s="1"/>
      <c r="F725" s="1"/>
      <c r="H725" s="1"/>
      <c r="K725" s="1"/>
      <c r="M725" s="1"/>
    </row>
    <row r="726" spans="1:13" ht="26.25" customHeight="1" x14ac:dyDescent="0.25">
      <c r="A726" s="126"/>
      <c r="B726" s="1"/>
      <c r="E726" s="1"/>
      <c r="F726" s="1"/>
      <c r="H726" s="1"/>
      <c r="K726" s="1"/>
      <c r="M726" s="1"/>
    </row>
    <row r="727" spans="1:13" ht="26.25" customHeight="1" x14ac:dyDescent="0.25">
      <c r="A727" s="126"/>
      <c r="B727" s="1"/>
      <c r="E727" s="1"/>
      <c r="F727" s="1"/>
      <c r="H727" s="1"/>
      <c r="K727" s="1"/>
      <c r="M727" s="1"/>
    </row>
    <row r="728" spans="1:13" ht="26.25" customHeight="1" x14ac:dyDescent="0.25">
      <c r="A728" s="126"/>
      <c r="B728" s="1"/>
      <c r="E728" s="1"/>
      <c r="F728" s="1"/>
      <c r="H728" s="1"/>
      <c r="K728" s="1"/>
      <c r="M728" s="1"/>
    </row>
    <row r="729" spans="1:13" ht="26.25" customHeight="1" x14ac:dyDescent="0.25">
      <c r="A729" s="126"/>
      <c r="B729" s="1"/>
      <c r="E729" s="1"/>
      <c r="F729" s="1"/>
      <c r="H729" s="1"/>
      <c r="K729" s="1"/>
      <c r="M729" s="1"/>
    </row>
    <row r="730" spans="1:13" ht="26.25" customHeight="1" x14ac:dyDescent="0.25">
      <c r="A730" s="126"/>
      <c r="B730" s="1"/>
      <c r="E730" s="1"/>
      <c r="F730" s="1"/>
      <c r="H730" s="1"/>
      <c r="K730" s="1"/>
      <c r="M730" s="1"/>
    </row>
    <row r="731" spans="1:13" ht="26.25" customHeight="1" x14ac:dyDescent="0.25">
      <c r="A731" s="126"/>
      <c r="B731" s="1"/>
      <c r="E731" s="1"/>
      <c r="F731" s="1"/>
      <c r="H731" s="1"/>
      <c r="K731" s="1"/>
      <c r="M731" s="1"/>
    </row>
    <row r="732" spans="1:13" ht="26.25" customHeight="1" x14ac:dyDescent="0.25">
      <c r="A732" s="126"/>
      <c r="B732" s="1"/>
      <c r="E732" s="1"/>
      <c r="F732" s="1"/>
      <c r="H732" s="1"/>
      <c r="K732" s="1"/>
      <c r="M732" s="1"/>
    </row>
    <row r="733" spans="1:13" ht="26.25" customHeight="1" x14ac:dyDescent="0.25">
      <c r="A733" s="126"/>
      <c r="B733" s="1"/>
      <c r="E733" s="1"/>
      <c r="F733" s="1"/>
      <c r="H733" s="1"/>
      <c r="K733" s="1"/>
      <c r="M733" s="1"/>
    </row>
    <row r="734" spans="1:13" ht="26.25" customHeight="1" x14ac:dyDescent="0.25">
      <c r="A734" s="126"/>
      <c r="B734" s="1"/>
      <c r="E734" s="1"/>
      <c r="F734" s="1"/>
      <c r="H734" s="1"/>
      <c r="K734" s="1"/>
      <c r="M734" s="1"/>
    </row>
    <row r="735" spans="1:13" ht="26.25" customHeight="1" x14ac:dyDescent="0.25">
      <c r="A735" s="126"/>
      <c r="B735" s="1"/>
      <c r="E735" s="1"/>
      <c r="F735" s="1"/>
      <c r="H735" s="1"/>
      <c r="K735" s="1"/>
      <c r="M735" s="1"/>
    </row>
    <row r="736" spans="1:13" ht="26.25" customHeight="1" x14ac:dyDescent="0.25">
      <c r="A736" s="126"/>
      <c r="B736" s="1"/>
      <c r="E736" s="1"/>
      <c r="F736" s="1"/>
      <c r="H736" s="1"/>
      <c r="K736" s="1"/>
      <c r="M736" s="1"/>
    </row>
    <row r="737" spans="1:13" ht="26.25" customHeight="1" x14ac:dyDescent="0.25">
      <c r="A737" s="126"/>
      <c r="B737" s="1"/>
      <c r="E737" s="1"/>
      <c r="F737" s="1"/>
      <c r="H737" s="1"/>
      <c r="K737" s="1"/>
      <c r="M737" s="1"/>
    </row>
    <row r="738" spans="1:13" ht="26.25" customHeight="1" x14ac:dyDescent="0.25">
      <c r="A738" s="126"/>
      <c r="B738" s="1"/>
      <c r="E738" s="1"/>
      <c r="F738" s="1"/>
      <c r="H738" s="1"/>
      <c r="K738" s="1"/>
      <c r="M738" s="1"/>
    </row>
    <row r="739" spans="1:13" ht="26.25" customHeight="1" x14ac:dyDescent="0.25">
      <c r="A739" s="126"/>
      <c r="B739" s="1"/>
      <c r="E739" s="1"/>
      <c r="F739" s="1"/>
      <c r="H739" s="1"/>
      <c r="K739" s="1"/>
      <c r="M739" s="1"/>
    </row>
    <row r="740" spans="1:13" ht="26.25" customHeight="1" x14ac:dyDescent="0.25">
      <c r="A740" s="126"/>
      <c r="B740" s="1"/>
      <c r="E740" s="1"/>
      <c r="F740" s="1"/>
      <c r="H740" s="1"/>
      <c r="K740" s="1"/>
      <c r="M740" s="1"/>
    </row>
    <row r="741" spans="1:13" ht="26.25" customHeight="1" x14ac:dyDescent="0.25">
      <c r="A741" s="126"/>
      <c r="B741" s="1"/>
      <c r="E741" s="1"/>
      <c r="F741" s="1"/>
      <c r="H741" s="1"/>
      <c r="K741" s="1"/>
      <c r="M741" s="1"/>
    </row>
    <row r="742" spans="1:13" ht="26.25" customHeight="1" x14ac:dyDescent="0.25">
      <c r="A742" s="126"/>
      <c r="B742" s="1"/>
      <c r="E742" s="1"/>
      <c r="F742" s="1"/>
      <c r="H742" s="1"/>
      <c r="K742" s="1"/>
      <c r="M742" s="1"/>
    </row>
    <row r="743" spans="1:13" ht="26.25" customHeight="1" x14ac:dyDescent="0.25">
      <c r="A743" s="126"/>
      <c r="B743" s="1"/>
      <c r="E743" s="1"/>
      <c r="F743" s="1"/>
      <c r="H743" s="1"/>
      <c r="K743" s="1"/>
      <c r="M743" s="1"/>
    </row>
    <row r="744" spans="1:13" ht="26.25" customHeight="1" x14ac:dyDescent="0.25">
      <c r="A744" s="126"/>
      <c r="B744" s="1"/>
      <c r="E744" s="1"/>
      <c r="F744" s="1"/>
      <c r="H744" s="1"/>
      <c r="K744" s="1"/>
      <c r="M744" s="1"/>
    </row>
    <row r="745" spans="1:13" ht="26.25" customHeight="1" x14ac:dyDescent="0.25">
      <c r="A745" s="126"/>
      <c r="B745" s="1"/>
      <c r="E745" s="1"/>
      <c r="F745" s="1"/>
      <c r="H745" s="1"/>
      <c r="K745" s="1"/>
      <c r="M745" s="1"/>
    </row>
    <row r="746" spans="1:13" ht="26.25" customHeight="1" x14ac:dyDescent="0.25">
      <c r="A746" s="126"/>
      <c r="B746" s="1"/>
      <c r="E746" s="1"/>
      <c r="F746" s="1"/>
      <c r="H746" s="1"/>
      <c r="K746" s="1"/>
      <c r="M746" s="1"/>
    </row>
    <row r="747" spans="1:13" ht="26.25" customHeight="1" x14ac:dyDescent="0.25">
      <c r="A747" s="126"/>
      <c r="B747" s="1"/>
      <c r="E747" s="1"/>
      <c r="F747" s="1"/>
      <c r="H747" s="1"/>
      <c r="K747" s="1"/>
      <c r="M747" s="1"/>
    </row>
    <row r="748" spans="1:13" ht="26.25" customHeight="1" x14ac:dyDescent="0.25">
      <c r="A748" s="126"/>
      <c r="B748" s="1"/>
      <c r="E748" s="1"/>
      <c r="F748" s="1"/>
      <c r="H748" s="1"/>
      <c r="K748" s="1"/>
      <c r="M748" s="1"/>
    </row>
    <row r="749" spans="1:13" ht="26.25" customHeight="1" x14ac:dyDescent="0.25">
      <c r="A749" s="126"/>
      <c r="B749" s="1"/>
      <c r="E749" s="1"/>
      <c r="F749" s="1"/>
      <c r="H749" s="1"/>
      <c r="K749" s="1"/>
      <c r="M749" s="1"/>
    </row>
    <row r="750" spans="1:13" ht="26.25" customHeight="1" x14ac:dyDescent="0.25">
      <c r="A750" s="126"/>
      <c r="B750" s="1"/>
      <c r="E750" s="1"/>
      <c r="F750" s="1"/>
      <c r="H750" s="1"/>
      <c r="K750" s="1"/>
      <c r="M750" s="1"/>
    </row>
    <row r="751" spans="1:13" ht="26.25" customHeight="1" x14ac:dyDescent="0.25">
      <c r="A751" s="126"/>
      <c r="B751" s="1"/>
      <c r="E751" s="1"/>
      <c r="F751" s="1"/>
      <c r="H751" s="1"/>
      <c r="K751" s="1"/>
      <c r="M751" s="1"/>
    </row>
    <row r="752" spans="1:13" ht="26.25" customHeight="1" x14ac:dyDescent="0.25">
      <c r="A752" s="126"/>
      <c r="B752" s="1"/>
      <c r="E752" s="1"/>
      <c r="F752" s="1"/>
      <c r="H752" s="1"/>
      <c r="K752" s="1"/>
      <c r="M752" s="1"/>
    </row>
    <row r="753" spans="1:13" ht="26.25" customHeight="1" x14ac:dyDescent="0.25">
      <c r="A753" s="126"/>
      <c r="B753" s="1"/>
      <c r="E753" s="1"/>
      <c r="F753" s="1"/>
      <c r="H753" s="1"/>
      <c r="K753" s="1"/>
      <c r="M753" s="1"/>
    </row>
    <row r="754" spans="1:13" ht="26.25" customHeight="1" x14ac:dyDescent="0.25">
      <c r="A754" s="126"/>
      <c r="B754" s="1"/>
      <c r="E754" s="1"/>
      <c r="F754" s="1"/>
      <c r="H754" s="1"/>
      <c r="K754" s="1"/>
      <c r="M754" s="1"/>
    </row>
    <row r="755" spans="1:13" ht="26.25" customHeight="1" x14ac:dyDescent="0.25">
      <c r="A755" s="126"/>
      <c r="B755" s="1"/>
      <c r="E755" s="1"/>
      <c r="F755" s="1"/>
      <c r="H755" s="1"/>
      <c r="K755" s="1"/>
      <c r="M755" s="1"/>
    </row>
    <row r="756" spans="1:13" ht="26.25" customHeight="1" x14ac:dyDescent="0.25">
      <c r="A756" s="126"/>
      <c r="B756" s="1"/>
      <c r="E756" s="1"/>
      <c r="F756" s="1"/>
      <c r="H756" s="1"/>
      <c r="K756" s="1"/>
      <c r="M756" s="1"/>
    </row>
    <row r="757" spans="1:13" ht="26.25" customHeight="1" x14ac:dyDescent="0.25">
      <c r="A757" s="126"/>
      <c r="B757" s="1"/>
      <c r="E757" s="1"/>
      <c r="F757" s="1"/>
      <c r="H757" s="1"/>
      <c r="K757" s="1"/>
      <c r="M757" s="1"/>
    </row>
    <row r="758" spans="1:13" ht="26.25" customHeight="1" x14ac:dyDescent="0.25">
      <c r="A758" s="126"/>
      <c r="B758" s="1"/>
      <c r="E758" s="1"/>
      <c r="F758" s="1"/>
      <c r="H758" s="1"/>
      <c r="K758" s="1"/>
      <c r="M758" s="1"/>
    </row>
    <row r="759" spans="1:13" ht="26.25" customHeight="1" x14ac:dyDescent="0.25">
      <c r="A759" s="126"/>
      <c r="B759" s="1"/>
      <c r="E759" s="1"/>
      <c r="F759" s="1"/>
      <c r="H759" s="1"/>
      <c r="K759" s="1"/>
      <c r="M759" s="1"/>
    </row>
    <row r="760" spans="1:13" ht="26.25" customHeight="1" x14ac:dyDescent="0.25">
      <c r="A760" s="126"/>
      <c r="B760" s="1"/>
      <c r="E760" s="1"/>
      <c r="F760" s="1"/>
      <c r="H760" s="1"/>
      <c r="K760" s="1"/>
      <c r="M760" s="1"/>
    </row>
    <row r="761" spans="1:13" ht="26.25" customHeight="1" x14ac:dyDescent="0.25">
      <c r="A761" s="126"/>
      <c r="B761" s="1"/>
      <c r="E761" s="1"/>
      <c r="F761" s="1"/>
      <c r="H761" s="1"/>
      <c r="K761" s="1"/>
      <c r="M761" s="1"/>
    </row>
    <row r="762" spans="1:13" ht="26.25" customHeight="1" x14ac:dyDescent="0.25">
      <c r="A762" s="126"/>
      <c r="B762" s="1"/>
      <c r="E762" s="1"/>
      <c r="F762" s="1"/>
      <c r="H762" s="1"/>
      <c r="K762" s="1"/>
      <c r="M762" s="1"/>
    </row>
    <row r="763" spans="1:13" ht="26.25" customHeight="1" x14ac:dyDescent="0.25">
      <c r="A763" s="126"/>
      <c r="B763" s="1"/>
      <c r="E763" s="1"/>
      <c r="F763" s="1"/>
      <c r="H763" s="1"/>
      <c r="K763" s="1"/>
      <c r="M763" s="1"/>
    </row>
    <row r="764" spans="1:13" ht="26.25" customHeight="1" x14ac:dyDescent="0.25">
      <c r="A764" s="126"/>
      <c r="B764" s="1"/>
      <c r="E764" s="1"/>
      <c r="F764" s="1"/>
      <c r="H764" s="1"/>
      <c r="K764" s="1"/>
      <c r="M764" s="1"/>
    </row>
    <row r="765" spans="1:13" ht="26.25" customHeight="1" x14ac:dyDescent="0.25">
      <c r="A765" s="126"/>
      <c r="B765" s="1"/>
      <c r="E765" s="1"/>
      <c r="F765" s="1"/>
      <c r="H765" s="1"/>
      <c r="K765" s="1"/>
      <c r="M765" s="1"/>
    </row>
    <row r="766" spans="1:13" ht="26.25" customHeight="1" x14ac:dyDescent="0.25">
      <c r="A766" s="126"/>
      <c r="B766" s="1"/>
      <c r="E766" s="1"/>
      <c r="F766" s="1"/>
      <c r="H766" s="1"/>
      <c r="K766" s="1"/>
      <c r="M766" s="1"/>
    </row>
    <row r="767" spans="1:13" ht="26.25" customHeight="1" x14ac:dyDescent="0.25">
      <c r="A767" s="126"/>
      <c r="B767" s="1"/>
      <c r="E767" s="1"/>
      <c r="F767" s="1"/>
      <c r="H767" s="1"/>
      <c r="K767" s="1"/>
      <c r="M767" s="1"/>
    </row>
    <row r="768" spans="1:13" ht="26.25" customHeight="1" x14ac:dyDescent="0.25">
      <c r="A768" s="126"/>
      <c r="B768" s="1"/>
      <c r="E768" s="1"/>
      <c r="F768" s="1"/>
      <c r="H768" s="1"/>
      <c r="K768" s="1"/>
      <c r="M768" s="1"/>
    </row>
    <row r="769" spans="1:13" ht="26.25" customHeight="1" x14ac:dyDescent="0.25">
      <c r="A769" s="126"/>
      <c r="B769" s="1"/>
      <c r="E769" s="1"/>
      <c r="F769" s="1"/>
      <c r="H769" s="1"/>
      <c r="K769" s="1"/>
      <c r="M769" s="1"/>
    </row>
    <row r="770" spans="1:13" ht="26.25" customHeight="1" x14ac:dyDescent="0.25">
      <c r="A770" s="126"/>
      <c r="B770" s="1"/>
      <c r="E770" s="1"/>
      <c r="F770" s="1"/>
      <c r="H770" s="1"/>
      <c r="K770" s="1"/>
      <c r="M770" s="1"/>
    </row>
    <row r="771" spans="1:13" ht="26.25" customHeight="1" x14ac:dyDescent="0.25">
      <c r="A771" s="126"/>
      <c r="B771" s="1"/>
      <c r="E771" s="1"/>
      <c r="F771" s="1"/>
      <c r="H771" s="1"/>
      <c r="K771" s="1"/>
      <c r="M771" s="1"/>
    </row>
    <row r="772" spans="1:13" ht="26.25" customHeight="1" x14ac:dyDescent="0.25">
      <c r="A772" s="126"/>
      <c r="B772" s="1"/>
      <c r="E772" s="1"/>
      <c r="F772" s="1"/>
      <c r="H772" s="1"/>
      <c r="K772" s="1"/>
      <c r="M772" s="1"/>
    </row>
    <row r="773" spans="1:13" ht="26.25" customHeight="1" x14ac:dyDescent="0.25">
      <c r="A773" s="126"/>
      <c r="B773" s="1"/>
      <c r="E773" s="1"/>
      <c r="F773" s="1"/>
      <c r="H773" s="1"/>
      <c r="K773" s="1"/>
      <c r="M773" s="1"/>
    </row>
    <row r="774" spans="1:13" ht="26.25" customHeight="1" x14ac:dyDescent="0.25">
      <c r="A774" s="126"/>
      <c r="B774" s="1"/>
      <c r="E774" s="1"/>
      <c r="F774" s="1"/>
      <c r="H774" s="1"/>
      <c r="K774" s="1"/>
      <c r="M774" s="1"/>
    </row>
    <row r="775" spans="1:13" ht="26.25" customHeight="1" x14ac:dyDescent="0.25">
      <c r="A775" s="126"/>
      <c r="B775" s="1"/>
      <c r="E775" s="1"/>
      <c r="F775" s="1"/>
      <c r="H775" s="1"/>
      <c r="K775" s="1"/>
      <c r="M775" s="1"/>
    </row>
    <row r="776" spans="1:13" ht="26.25" customHeight="1" x14ac:dyDescent="0.25">
      <c r="A776" s="126"/>
      <c r="B776" s="1"/>
      <c r="E776" s="1"/>
      <c r="F776" s="1"/>
      <c r="H776" s="1"/>
      <c r="K776" s="1"/>
      <c r="M776" s="1"/>
    </row>
    <row r="777" spans="1:13" ht="26.25" customHeight="1" x14ac:dyDescent="0.25">
      <c r="A777" s="126"/>
      <c r="B777" s="1"/>
      <c r="E777" s="1"/>
      <c r="F777" s="1"/>
      <c r="H777" s="1"/>
      <c r="K777" s="1"/>
      <c r="M777" s="1"/>
    </row>
    <row r="778" spans="1:13" ht="26.25" customHeight="1" x14ac:dyDescent="0.25">
      <c r="A778" s="126"/>
      <c r="B778" s="1"/>
      <c r="E778" s="1"/>
      <c r="F778" s="1"/>
      <c r="H778" s="1"/>
      <c r="K778" s="1"/>
      <c r="M778" s="1"/>
    </row>
    <row r="779" spans="1:13" ht="26.25" customHeight="1" x14ac:dyDescent="0.25">
      <c r="A779" s="126"/>
      <c r="B779" s="1"/>
      <c r="E779" s="1"/>
      <c r="F779" s="1"/>
      <c r="H779" s="1"/>
      <c r="K779" s="1"/>
      <c r="M779" s="1"/>
    </row>
    <row r="780" spans="1:13" ht="26.25" customHeight="1" x14ac:dyDescent="0.25">
      <c r="A780" s="126"/>
      <c r="B780" s="1"/>
      <c r="E780" s="1"/>
      <c r="F780" s="1"/>
      <c r="H780" s="1"/>
      <c r="K780" s="1"/>
      <c r="M780" s="1"/>
    </row>
    <row r="781" spans="1:13" ht="26.25" customHeight="1" x14ac:dyDescent="0.25">
      <c r="A781" s="126"/>
      <c r="B781" s="1"/>
      <c r="E781" s="1"/>
      <c r="F781" s="1"/>
      <c r="H781" s="1"/>
      <c r="K781" s="1"/>
      <c r="M781" s="1"/>
    </row>
    <row r="782" spans="1:13" ht="26.25" customHeight="1" x14ac:dyDescent="0.25">
      <c r="A782" s="126"/>
      <c r="B782" s="1"/>
      <c r="E782" s="1"/>
      <c r="F782" s="1"/>
      <c r="H782" s="1"/>
      <c r="K782" s="1"/>
      <c r="M782" s="1"/>
    </row>
    <row r="783" spans="1:13" ht="26.25" customHeight="1" x14ac:dyDescent="0.25">
      <c r="A783" s="126"/>
      <c r="B783" s="1"/>
      <c r="E783" s="1"/>
      <c r="F783" s="1"/>
      <c r="H783" s="1"/>
      <c r="K783" s="1"/>
      <c r="M783" s="1"/>
    </row>
    <row r="784" spans="1:13" ht="26.25" customHeight="1" x14ac:dyDescent="0.25">
      <c r="A784" s="126"/>
      <c r="B784" s="1"/>
      <c r="E784" s="1"/>
      <c r="F784" s="1"/>
      <c r="H784" s="1"/>
      <c r="K784" s="1"/>
      <c r="M784" s="1"/>
    </row>
  </sheetData>
  <mergeCells count="29">
    <mergeCell ref="A1:AJ1"/>
    <mergeCell ref="A2:B2"/>
    <mergeCell ref="D2:E2"/>
    <mergeCell ref="G2:H2"/>
    <mergeCell ref="I2:Q2"/>
    <mergeCell ref="R2:Z2"/>
    <mergeCell ref="AA2:AE2"/>
    <mergeCell ref="A3:B3"/>
    <mergeCell ref="D3:H3"/>
    <mergeCell ref="I3:Q3"/>
    <mergeCell ref="R3:Z3"/>
    <mergeCell ref="AA3:AE3"/>
    <mergeCell ref="AF4:AH4"/>
    <mergeCell ref="A5:B5"/>
    <mergeCell ref="D5:H5"/>
    <mergeCell ref="I5:Q5"/>
    <mergeCell ref="R5:Z5"/>
    <mergeCell ref="AA5:AE5"/>
    <mergeCell ref="AF5:AH5"/>
    <mergeCell ref="A4:B4"/>
    <mergeCell ref="D4:H4"/>
    <mergeCell ref="I4:Q4"/>
    <mergeCell ref="R4:Z4"/>
    <mergeCell ref="AA4:AE4"/>
    <mergeCell ref="A66:G70"/>
    <mergeCell ref="H66:L70"/>
    <mergeCell ref="M66:V70"/>
    <mergeCell ref="X69:AJ69"/>
    <mergeCell ref="AB70:AJ70"/>
  </mergeCells>
  <printOptions horizontalCentered="1"/>
  <pageMargins left="0.23622047244094491" right="0.23622047244094491" top="1.5748031496062993" bottom="0.59055118110236227" header="0.19685039370078741" footer="0.19685039370078741"/>
  <pageSetup paperSize="8" scale="49" fitToHeight="0" orientation="landscape" r:id="rId1"/>
  <headerFooter alignWithMargins="0">
    <oddHeader>&amp;L&amp;"Arial,Bold"&amp;18MAIN Contractor:-&amp;"Arial,Regular"&amp;8
&amp;G
&amp;C&amp;22Project:
EXECUTIVE ENCLAVE, New Delhi&amp;R&amp;"Arial,Bold"&amp;14Page №:(&amp;P of &amp;N)</oddHeader>
    <oddFooter>&amp;LBBS Program License Number: 296
RPE Consulting Private Limited&amp;C&amp;14Prepared by:- RPECPL/                                       Reviewed by:- LnT - Construction/&amp;R&amp;"Tahoma,Regular"         &amp;12   Approved By CPWD/                        Certified By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41" r:id="rId5" name="MacroDisabledInformation">
          <controlPr defaultSize="0" print="0" autoLine="0" r:id="rId6">
            <anchor moveWithCells="1">
              <from>
                <xdr:col>0</xdr:col>
                <xdr:colOff>342900</xdr:colOff>
                <xdr:row>70</xdr:row>
                <xdr:rowOff>0</xdr:rowOff>
              </from>
              <to>
                <xdr:col>6</xdr:col>
                <xdr:colOff>556260</xdr:colOff>
                <xdr:row>76</xdr:row>
                <xdr:rowOff>175260</xdr:rowOff>
              </to>
            </anchor>
          </controlPr>
        </control>
      </mc:Choice>
      <mc:Fallback>
        <control shapeId="10241" r:id="rId5" name="MacroDisabledInformation"/>
      </mc:Fallback>
    </mc:AlternateContent>
    <mc:AlternateContent xmlns:mc="http://schemas.openxmlformats.org/markup-compatibility/2006">
      <mc:Choice Requires="x14">
        <control shapeId="10242" r:id="rId7" name="PrintOptionLabel">
          <controlPr defaultSize="0" autoLine="0" r:id="rId8">
            <anchor moveWithCells="1">
              <from>
                <xdr:col>0</xdr:col>
                <xdr:colOff>342900</xdr:colOff>
                <xdr:row>1</xdr:row>
                <xdr:rowOff>0</xdr:rowOff>
              </from>
              <to>
                <xdr:col>0</xdr:col>
                <xdr:colOff>350520</xdr:colOff>
                <xdr:row>1</xdr:row>
                <xdr:rowOff>22860</xdr:rowOff>
              </to>
            </anchor>
          </controlPr>
        </control>
      </mc:Choice>
      <mc:Fallback>
        <control shapeId="10242" r:id="rId7" name="PrintOptionLabel"/>
      </mc:Fallback>
    </mc:AlternateContent>
    <mc:AlternateContent xmlns:mc="http://schemas.openxmlformats.org/markup-compatibility/2006">
      <mc:Choice Requires="x14">
        <control shapeId="10243" r:id="rId9" name="BBSProgram">
          <controlPr defaultSize="0" autoLine="0" r:id="rId10">
            <anchor moveWithCells="1">
              <from>
                <xdr:col>6</xdr:col>
                <xdr:colOff>182880</xdr:colOff>
                <xdr:row>1</xdr:row>
                <xdr:rowOff>0</xdr:rowOff>
              </from>
              <to>
                <xdr:col>6</xdr:col>
                <xdr:colOff>190500</xdr:colOff>
                <xdr:row>1</xdr:row>
                <xdr:rowOff>22860</xdr:rowOff>
              </to>
            </anchor>
          </controlPr>
        </control>
      </mc:Choice>
      <mc:Fallback>
        <control shapeId="10243" r:id="rId9" name="BBSProgram"/>
      </mc:Fallback>
    </mc:AlternateContent>
    <mc:AlternateContent xmlns:mc="http://schemas.openxmlformats.org/markup-compatibility/2006">
      <mc:Choice Requires="x14">
        <control shapeId="10244" r:id="rId11" name="ProgramFileFullName">
          <controlPr defaultSize="0" autoLine="0" r:id="rId12">
            <anchor moveWithCells="1">
              <from>
                <xdr:col>6</xdr:col>
                <xdr:colOff>335280</xdr:colOff>
                <xdr:row>1</xdr:row>
                <xdr:rowOff>0</xdr:rowOff>
              </from>
              <to>
                <xdr:col>6</xdr:col>
                <xdr:colOff>342900</xdr:colOff>
                <xdr:row>1</xdr:row>
                <xdr:rowOff>22860</xdr:rowOff>
              </to>
            </anchor>
          </controlPr>
        </control>
      </mc:Choice>
      <mc:Fallback>
        <control shapeId="10244" r:id="rId11" name="ProgramFileFullName"/>
      </mc:Fallback>
    </mc:AlternateContent>
    <mc:AlternateContent xmlns:mc="http://schemas.openxmlformats.org/markup-compatibility/2006">
      <mc:Choice Requires="x14">
        <control shapeId="10245" r:id="rId13" name="AutomaticallyOpenProgramFile">
          <controlPr defaultSize="0" autoLine="0" r:id="rId14">
            <anchor moveWithCells="1">
              <from>
                <xdr:col>6</xdr:col>
                <xdr:colOff>487680</xdr:colOff>
                <xdr:row>1</xdr:row>
                <xdr:rowOff>0</xdr:rowOff>
              </from>
              <to>
                <xdr:col>6</xdr:col>
                <xdr:colOff>495300</xdr:colOff>
                <xdr:row>1</xdr:row>
                <xdr:rowOff>22860</xdr:rowOff>
              </to>
            </anchor>
          </controlPr>
        </control>
      </mc:Choice>
      <mc:Fallback>
        <control shapeId="10245" r:id="rId13" name="AutomaticallyOpenProgramFile"/>
      </mc:Fallback>
    </mc:AlternateContent>
    <mc:AlternateContent xmlns:mc="http://schemas.openxmlformats.org/markup-compatibility/2006">
      <mc:Choice Requires="x14">
        <control shapeId="10246" r:id="rId15" name="CodeColumn">
          <controlPr defaultSize="0" autoLine="0" r:id="rId16">
            <anchor moveWithCells="1">
              <from>
                <xdr:col>0</xdr:col>
                <xdr:colOff>60960</xdr:colOff>
                <xdr:row>1</xdr:row>
                <xdr:rowOff>0</xdr:rowOff>
              </from>
              <to>
                <xdr:col>0</xdr:col>
                <xdr:colOff>99060</xdr:colOff>
                <xdr:row>1</xdr:row>
                <xdr:rowOff>22860</xdr:rowOff>
              </to>
            </anchor>
          </controlPr>
        </control>
      </mc:Choice>
      <mc:Fallback>
        <control shapeId="10246" r:id="rId15" name="CodeColumn"/>
      </mc:Fallback>
    </mc:AlternateContent>
    <mc:AlternateContent xmlns:mc="http://schemas.openxmlformats.org/markup-compatibility/2006">
      <mc:Choice Requires="x14">
        <control shapeId="10247" r:id="rId17" name="LastRowOfSummary">
          <controlPr defaultSize="0" autoLine="0" r:id="rId18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7620</xdr:colOff>
                <xdr:row>1</xdr:row>
                <xdr:rowOff>22860</xdr:rowOff>
              </to>
            </anchor>
          </controlPr>
        </control>
      </mc:Choice>
      <mc:Fallback>
        <control shapeId="10247" r:id="rId17" name="LastRowOfSummary"/>
      </mc:Fallback>
    </mc:AlternateContent>
    <mc:AlternateContent xmlns:mc="http://schemas.openxmlformats.org/markup-compatibility/2006">
      <mc:Choice Requires="x14">
        <control shapeId="10248" r:id="rId19" name="PrintOptionInformer">
          <controlPr defaultSize="0" print="0" autoLine="0" r:id="rId20">
            <anchor moveWithCells="1">
              <from>
                <xdr:col>29</xdr:col>
                <xdr:colOff>0</xdr:colOff>
                <xdr:row>1</xdr:row>
                <xdr:rowOff>0</xdr:rowOff>
              </from>
              <to>
                <xdr:col>29</xdr:col>
                <xdr:colOff>1043940</xdr:colOff>
                <xdr:row>1</xdr:row>
                <xdr:rowOff>342900</xdr:rowOff>
              </to>
            </anchor>
          </controlPr>
        </control>
      </mc:Choice>
      <mc:Fallback>
        <control shapeId="10248" r:id="rId19" name="PrintOptionInformer"/>
      </mc:Fallback>
    </mc:AlternateContent>
    <mc:AlternateContent xmlns:mc="http://schemas.openxmlformats.org/markup-compatibility/2006">
      <mc:Choice Requires="x14">
        <control shapeId="10249" r:id="rId21" name="Capitalization">
          <controlPr defaultSize="0" autoLine="0" r:id="rId22">
            <anchor moveWithCells="1">
              <from>
                <xdr:col>6</xdr:col>
                <xdr:colOff>640080</xdr:colOff>
                <xdr:row>70</xdr:row>
                <xdr:rowOff>0</xdr:rowOff>
              </from>
              <to>
                <xdr:col>6</xdr:col>
                <xdr:colOff>647700</xdr:colOff>
                <xdr:row>70</xdr:row>
                <xdr:rowOff>7620</xdr:rowOff>
              </to>
            </anchor>
          </controlPr>
        </control>
      </mc:Choice>
      <mc:Fallback>
        <control shapeId="10249" r:id="rId21" name="Capitalization"/>
      </mc:Fallback>
    </mc:AlternateContent>
    <mc:AlternateContent xmlns:mc="http://schemas.openxmlformats.org/markup-compatibility/2006">
      <mc:Choice Requires="x14">
        <control shapeId="10250" r:id="rId23" name="Registered">
          <controlPr defaultSize="0" autoLine="0" r:id="rId24">
            <anchor moveWithCells="1">
              <from>
                <xdr:col>0</xdr:col>
                <xdr:colOff>152400</xdr:colOff>
                <xdr:row>1</xdr:row>
                <xdr:rowOff>0</xdr:rowOff>
              </from>
              <to>
                <xdr:col>0</xdr:col>
                <xdr:colOff>160020</xdr:colOff>
                <xdr:row>1</xdr:row>
                <xdr:rowOff>22860</xdr:rowOff>
              </to>
            </anchor>
          </controlPr>
        </control>
      </mc:Choice>
      <mc:Fallback>
        <control shapeId="10250" r:id="rId23" name="Registere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3:R208"/>
  <sheetViews>
    <sheetView topLeftCell="A196" zoomScale="141" zoomScaleNormal="100" workbookViewId="0">
      <selection activeCell="A208" sqref="A208"/>
    </sheetView>
  </sheetViews>
  <sheetFormatPr defaultRowHeight="13.2" x14ac:dyDescent="0.25"/>
  <cols>
    <col min="3" max="3" width="20.6640625" customWidth="1"/>
  </cols>
  <sheetData>
    <row r="3" spans="1:1" ht="40.200000000000003" customHeight="1" x14ac:dyDescent="0.25">
      <c r="A3" s="41">
        <v>11</v>
      </c>
    </row>
    <row r="8" spans="1:1" ht="39.450000000000003" customHeight="1" x14ac:dyDescent="0.25">
      <c r="A8" s="41">
        <v>0</v>
      </c>
    </row>
    <row r="11" spans="1:1" ht="41.7" customHeight="1" x14ac:dyDescent="0.25">
      <c r="A11" s="72">
        <v>12</v>
      </c>
    </row>
    <row r="16" spans="1:1" x14ac:dyDescent="0.25">
      <c r="A16" s="41" t="s">
        <v>63</v>
      </c>
    </row>
    <row r="21" spans="1:5" x14ac:dyDescent="0.25">
      <c r="A21" s="41" t="s">
        <v>64</v>
      </c>
    </row>
    <row r="25" spans="1:5" x14ac:dyDescent="0.25">
      <c r="A25" s="41">
        <v>311</v>
      </c>
    </row>
    <row r="27" spans="1:5" x14ac:dyDescent="0.25">
      <c r="E27" s="75"/>
    </row>
    <row r="29" spans="1:5" x14ac:dyDescent="0.25">
      <c r="D29" s="75"/>
    </row>
    <row r="30" spans="1:5" x14ac:dyDescent="0.25">
      <c r="A30" s="41" t="s">
        <v>65</v>
      </c>
    </row>
    <row r="34" spans="1:18" x14ac:dyDescent="0.25">
      <c r="A34" s="41">
        <v>15</v>
      </c>
      <c r="R34" t="e" vm="1">
        <v>#VALUE!</v>
      </c>
    </row>
    <row r="39" spans="1:18" x14ac:dyDescent="0.25">
      <c r="A39" s="41" t="s">
        <v>70</v>
      </c>
    </row>
    <row r="41" spans="1:18" x14ac:dyDescent="0.25">
      <c r="K41" t="s">
        <v>76</v>
      </c>
    </row>
    <row r="44" spans="1:18" x14ac:dyDescent="0.25">
      <c r="A44" s="78"/>
    </row>
    <row r="46" spans="1:18" x14ac:dyDescent="0.25">
      <c r="A46" s="41" t="s">
        <v>68</v>
      </c>
    </row>
    <row r="53" spans="1:1" x14ac:dyDescent="0.25">
      <c r="A53" s="41" t="s">
        <v>71</v>
      </c>
    </row>
    <row r="59" spans="1:1" x14ac:dyDescent="0.25">
      <c r="A59" s="41" t="s">
        <v>72</v>
      </c>
    </row>
    <row r="66" spans="1:12" x14ac:dyDescent="0.25">
      <c r="A66" s="40" t="s">
        <v>73</v>
      </c>
    </row>
    <row r="68" spans="1:12" s="27" customFormat="1" ht="40.200000000000003" customHeight="1" x14ac:dyDescent="0.25">
      <c r="A68" s="3"/>
      <c r="E68" s="28"/>
      <c r="G68" s="3"/>
      <c r="J68" s="3"/>
      <c r="L68"/>
    </row>
    <row r="69" spans="1:12" s="27" customFormat="1" ht="40.200000000000003" customHeight="1" x14ac:dyDescent="0.25">
      <c r="A69" s="40">
        <v>104</v>
      </c>
      <c r="E69" s="28"/>
      <c r="G69" s="3"/>
      <c r="I69"/>
      <c r="J69" s="3"/>
      <c r="L69"/>
    </row>
    <row r="70" spans="1:12" ht="15.6" customHeight="1" x14ac:dyDescent="0.25"/>
    <row r="73" spans="1:12" x14ac:dyDescent="0.25">
      <c r="A73" s="40" t="s">
        <v>130</v>
      </c>
    </row>
    <row r="77" spans="1:12" x14ac:dyDescent="0.25">
      <c r="A77" s="40" t="s">
        <v>131</v>
      </c>
    </row>
    <row r="84" spans="1:1" x14ac:dyDescent="0.25">
      <c r="A84" s="40" t="s">
        <v>133</v>
      </c>
    </row>
    <row r="91" spans="1:1" x14ac:dyDescent="0.25">
      <c r="A91" s="40" t="s">
        <v>132</v>
      </c>
    </row>
    <row r="99" spans="1:1" x14ac:dyDescent="0.25">
      <c r="A99" s="40" t="s">
        <v>134</v>
      </c>
    </row>
    <row r="106" spans="1:1" x14ac:dyDescent="0.25">
      <c r="A106" s="40">
        <v>511</v>
      </c>
    </row>
    <row r="114" spans="1:1" x14ac:dyDescent="0.25">
      <c r="A114" s="40">
        <v>212</v>
      </c>
    </row>
    <row r="123" spans="1:1" x14ac:dyDescent="0.25">
      <c r="A123" s="40" t="s">
        <v>135</v>
      </c>
    </row>
    <row r="131" spans="1:1" x14ac:dyDescent="0.25">
      <c r="A131" s="40">
        <v>101</v>
      </c>
    </row>
    <row r="139" spans="1:1" x14ac:dyDescent="0.25">
      <c r="A139" s="40">
        <v>102</v>
      </c>
    </row>
    <row r="146" spans="1:12" x14ac:dyDescent="0.25">
      <c r="L146" s="92"/>
    </row>
    <row r="150" spans="1:12" x14ac:dyDescent="0.25">
      <c r="A150" s="40" t="s">
        <v>136</v>
      </c>
    </row>
    <row r="162" spans="1:1" x14ac:dyDescent="0.25">
      <c r="A162" s="40" t="s">
        <v>147</v>
      </c>
    </row>
    <row r="171" spans="1:1" x14ac:dyDescent="0.25">
      <c r="A171" s="40" t="s">
        <v>158</v>
      </c>
    </row>
    <row r="181" spans="1:1" x14ac:dyDescent="0.25">
      <c r="A181" s="40" t="s">
        <v>161</v>
      </c>
    </row>
    <row r="191" spans="1:1" x14ac:dyDescent="0.25">
      <c r="A191" s="40">
        <v>582</v>
      </c>
    </row>
    <row r="200" spans="1:1" x14ac:dyDescent="0.25">
      <c r="A200" s="40">
        <v>21</v>
      </c>
    </row>
    <row r="208" spans="1:1" x14ac:dyDescent="0.25">
      <c r="A208" s="40" t="s">
        <v>200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">
    <pageSetUpPr autoPageBreaks="0" fitToPage="1"/>
  </sheetPr>
  <dimension ref="A1:AE33"/>
  <sheetViews>
    <sheetView topLeftCell="T1" zoomScaleSheetLayoutView="85" workbookViewId="0">
      <pane ySplit="2" topLeftCell="A3" activePane="bottomLeft" state="frozen"/>
      <selection activeCell="T3" sqref="T3"/>
      <selection pane="bottomLeft" activeCell="X6" sqref="X6"/>
    </sheetView>
  </sheetViews>
  <sheetFormatPr defaultColWidth="9.33203125" defaultRowHeight="26.25" customHeight="1" x14ac:dyDescent="0.25"/>
  <cols>
    <col min="1" max="1" width="5.33203125" style="1" customWidth="1"/>
    <col min="2" max="2" width="15.6640625" style="1" customWidth="1"/>
    <col min="3" max="3" width="4.6640625" style="2" customWidth="1"/>
    <col min="4" max="4" width="6.33203125" style="1" customWidth="1"/>
    <col min="5" max="5" width="4.6640625" style="1" customWidth="1"/>
    <col min="6" max="6" width="5.6640625" style="2" customWidth="1"/>
    <col min="7" max="7" width="6.6640625" style="1" customWidth="1"/>
    <col min="8" max="8" width="5.44140625" style="2" customWidth="1"/>
    <col min="9" max="10" width="5.33203125" style="1" customWidth="1"/>
    <col min="11" max="14" width="4.44140625" style="1" customWidth="1"/>
    <col min="15" max="18" width="4.44140625" style="1" hidden="1" customWidth="1"/>
    <col min="19" max="19" width="30.6640625" style="1" customWidth="1"/>
    <col min="20" max="20" width="7.33203125" style="1" customWidth="1"/>
    <col min="21" max="21" width="3" style="1" customWidth="1"/>
    <col min="22" max="22" width="12.33203125" style="1" customWidth="1"/>
    <col min="23" max="16384" width="9.33203125" style="1"/>
  </cols>
  <sheetData>
    <row r="1" spans="1:31" ht="13.2" x14ac:dyDescent="0.25">
      <c r="B1" s="1" t="s">
        <v>0</v>
      </c>
    </row>
    <row r="2" spans="1:31" s="3" customFormat="1" ht="26.25" customHeight="1" x14ac:dyDescent="0.25">
      <c r="A2" s="24" t="s">
        <v>1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23</v>
      </c>
      <c r="G2" s="24" t="s">
        <v>6</v>
      </c>
      <c r="H2" s="25" t="s">
        <v>7</v>
      </c>
      <c r="I2" s="24" t="s">
        <v>8</v>
      </c>
      <c r="J2" s="24" t="s">
        <v>9</v>
      </c>
      <c r="K2" s="24" t="s">
        <v>10</v>
      </c>
      <c r="L2" s="24" t="s">
        <v>11</v>
      </c>
      <c r="M2" s="24" t="s">
        <v>12</v>
      </c>
      <c r="N2" s="24" t="s">
        <v>13</v>
      </c>
      <c r="O2" s="24" t="s">
        <v>14</v>
      </c>
      <c r="P2" s="24" t="s">
        <v>15</v>
      </c>
      <c r="Q2" s="24" t="s">
        <v>24</v>
      </c>
      <c r="R2" s="24" t="s">
        <v>25</v>
      </c>
      <c r="S2" s="24" t="s">
        <v>16</v>
      </c>
      <c r="T2" s="24" t="s">
        <v>22</v>
      </c>
    </row>
    <row r="3" spans="1:31" ht="26.25" customHeight="1" x14ac:dyDescent="0.25">
      <c r="A3" s="4"/>
      <c r="B3" s="4"/>
      <c r="C3" s="5"/>
      <c r="D3" s="6"/>
      <c r="E3" s="6"/>
      <c r="F3" s="7">
        <f t="shared" ref="F3:F33" si="0">D3*E3</f>
        <v>0</v>
      </c>
      <c r="G3" s="8"/>
      <c r="H3" s="9"/>
      <c r="I3" s="6"/>
      <c r="J3" s="6"/>
      <c r="K3" s="6"/>
      <c r="L3" s="10"/>
      <c r="M3" s="6"/>
      <c r="N3" s="6"/>
      <c r="O3" s="6"/>
      <c r="P3" s="6"/>
      <c r="Q3" s="6"/>
      <c r="R3" s="6"/>
      <c r="S3" s="11"/>
      <c r="T3" s="26" t="str">
        <f>IF(C3="","",ROUND(CHOOSE(MATCH(C3,{5,6,7,8,10,12,14,15,16,18,20,22,25,28,32,35,40,45},0),0.154,0.222,0.302,0.395,0.617,0.888,1.209,1.388,1.579,1.998,2.467,2.985,3.855,4.835,6.315,7.555,9.868,12.489)*D3*E3*G3/1000,3))</f>
        <v/>
      </c>
      <c r="V3" s="12" t="s">
        <v>26</v>
      </c>
      <c r="W3" s="13"/>
      <c r="X3" s="13"/>
      <c r="Y3" s="13"/>
      <c r="Z3" s="13"/>
      <c r="AA3" s="13"/>
      <c r="AB3" s="13"/>
      <c r="AC3" s="13"/>
      <c r="AD3" s="13"/>
      <c r="AE3" s="2"/>
    </row>
    <row r="4" spans="1:31" ht="26.25" customHeight="1" x14ac:dyDescent="0.25">
      <c r="A4" s="4"/>
      <c r="B4" s="4"/>
      <c r="C4" s="5"/>
      <c r="D4" s="6"/>
      <c r="E4" s="6"/>
      <c r="F4" s="7">
        <f t="shared" si="0"/>
        <v>0</v>
      </c>
      <c r="G4" s="8"/>
      <c r="H4" s="9"/>
      <c r="I4" s="6"/>
      <c r="J4" s="6"/>
      <c r="K4" s="6"/>
      <c r="L4" s="10"/>
      <c r="M4" s="6"/>
      <c r="N4" s="6"/>
      <c r="O4" s="6"/>
      <c r="P4" s="6"/>
      <c r="Q4" s="6"/>
      <c r="R4" s="6"/>
      <c r="S4" s="11"/>
      <c r="T4" s="26" t="str">
        <f>IF(C4="","",ROUND(CHOOSE(MATCH(C4,{5,6,7,8,10,12,14,15,16,18,20,22,25,28,32,35,40,45},0),0.154,0.222,0.302,0.395,0.617,0.888,1.209,1.388,1.579,1.998,2.467,2.985,3.855,4.835,6.315,7.555,9.868,12.489)*D4*E4*G4/1000,3))</f>
        <v/>
      </c>
      <c r="V4" s="14" t="s">
        <v>17</v>
      </c>
      <c r="W4" s="3"/>
      <c r="X4" s="3"/>
      <c r="Y4" s="3"/>
      <c r="Z4" s="3"/>
      <c r="AA4" s="3"/>
      <c r="AB4" s="3"/>
      <c r="AC4" s="3"/>
      <c r="AD4" s="3"/>
      <c r="AE4" s="2"/>
    </row>
    <row r="5" spans="1:31" ht="26.25" customHeight="1" thickBot="1" x14ac:dyDescent="0.3">
      <c r="A5" s="4"/>
      <c r="B5" s="4"/>
      <c r="C5" s="5"/>
      <c r="D5" s="6"/>
      <c r="E5" s="6"/>
      <c r="F5" s="7">
        <f t="shared" si="0"/>
        <v>0</v>
      </c>
      <c r="G5" s="8"/>
      <c r="H5" s="9"/>
      <c r="I5" s="6"/>
      <c r="J5" s="6"/>
      <c r="K5" s="6"/>
      <c r="L5" s="10"/>
      <c r="M5" s="6"/>
      <c r="N5" s="6"/>
      <c r="O5" s="6"/>
      <c r="P5" s="6"/>
      <c r="Q5" s="6"/>
      <c r="R5" s="6"/>
      <c r="S5" s="11"/>
      <c r="T5" s="26" t="str">
        <f>IF(C5="","",ROUND(CHOOSE(MATCH(C5,{5,6,7,8,10,12,14,15,16,18,20,22,25,28,32,35,40,45},0),0.154,0.222,0.302,0.395,0.617,0.888,1.209,1.388,1.579,1.998,2.467,2.985,3.855,4.835,6.315,7.555,9.868,12.489)*D5*E5*G5/1000,3))</f>
        <v/>
      </c>
      <c r="V5" s="14" t="s">
        <v>18</v>
      </c>
      <c r="AE5" s="2"/>
    </row>
    <row r="6" spans="1:31" ht="26.25" customHeight="1" thickTop="1" x14ac:dyDescent="0.25">
      <c r="A6" s="4"/>
      <c r="B6" s="4"/>
      <c r="C6" s="5"/>
      <c r="D6" s="6"/>
      <c r="E6" s="6"/>
      <c r="F6" s="7">
        <f t="shared" si="0"/>
        <v>0</v>
      </c>
      <c r="G6" s="8"/>
      <c r="H6" s="9"/>
      <c r="I6" s="6"/>
      <c r="J6" s="6"/>
      <c r="K6" s="6"/>
      <c r="L6" s="10"/>
      <c r="M6" s="6"/>
      <c r="N6" s="6"/>
      <c r="O6" s="6"/>
      <c r="P6" s="6"/>
      <c r="Q6" s="6"/>
      <c r="R6" s="6"/>
      <c r="S6" s="11"/>
      <c r="T6" s="26" t="str">
        <f>IF(C6="","",ROUND(CHOOSE(MATCH(C6,{5,6,7,8,10,12,14,15,16,18,20,22,25,28,32,35,40,45},0),0.154,0.222,0.302,0.395,0.617,0.888,1.209,1.388,1.579,1.998,2.467,2.985,3.855,4.835,6.315,7.555,9.868,12.489)*D6*E6*G6/1000,3))</f>
        <v/>
      </c>
      <c r="V6" s="15" t="s">
        <v>19</v>
      </c>
      <c r="W6" s="16"/>
      <c r="X6" s="16"/>
      <c r="Y6" s="16"/>
      <c r="Z6" s="16"/>
      <c r="AA6" s="16"/>
      <c r="AB6" s="16"/>
      <c r="AC6" s="16"/>
      <c r="AD6" s="17"/>
      <c r="AE6" s="2"/>
    </row>
    <row r="7" spans="1:31" ht="26.25" customHeight="1" x14ac:dyDescent="0.25">
      <c r="A7" s="4"/>
      <c r="B7" s="4"/>
      <c r="C7" s="5"/>
      <c r="D7" s="6"/>
      <c r="E7" s="6"/>
      <c r="F7" s="7">
        <f t="shared" si="0"/>
        <v>0</v>
      </c>
      <c r="G7" s="8"/>
      <c r="H7" s="9"/>
      <c r="I7" s="6"/>
      <c r="J7" s="6"/>
      <c r="K7" s="6"/>
      <c r="L7" s="10"/>
      <c r="M7" s="6"/>
      <c r="N7" s="6"/>
      <c r="O7" s="6"/>
      <c r="P7" s="6"/>
      <c r="Q7" s="6"/>
      <c r="R7" s="6"/>
      <c r="S7" s="11"/>
      <c r="T7" s="26" t="str">
        <f>IF(C7="","",ROUND(CHOOSE(MATCH(C7,{5,6,7,8,10,12,14,15,16,18,20,22,25,28,32,35,40,45},0),0.154,0.222,0.302,0.395,0.617,0.888,1.209,1.388,1.579,1.998,2.467,2.985,3.855,4.835,6.315,7.555,9.868,12.489)*D7*E7*G7/1000,3))</f>
        <v/>
      </c>
      <c r="V7" s="18" t="s">
        <v>20</v>
      </c>
      <c r="W7" s="19">
        <v>8</v>
      </c>
      <c r="X7" s="19">
        <v>10</v>
      </c>
      <c r="Y7" s="19">
        <v>12</v>
      </c>
      <c r="Z7" s="19">
        <v>16</v>
      </c>
      <c r="AA7" s="19">
        <v>20</v>
      </c>
      <c r="AB7" s="19">
        <v>25</v>
      </c>
      <c r="AC7" s="19">
        <v>32</v>
      </c>
      <c r="AD7" s="20" t="s">
        <v>21</v>
      </c>
      <c r="AE7" s="2"/>
    </row>
    <row r="8" spans="1:31" ht="26.25" customHeight="1" thickBot="1" x14ac:dyDescent="0.3">
      <c r="A8" s="4"/>
      <c r="B8" s="4"/>
      <c r="C8" s="5"/>
      <c r="D8" s="6"/>
      <c r="E8" s="6"/>
      <c r="F8" s="7">
        <f t="shared" si="0"/>
        <v>0</v>
      </c>
      <c r="G8" s="8"/>
      <c r="H8" s="9"/>
      <c r="I8" s="6"/>
      <c r="J8" s="6"/>
      <c r="K8" s="6"/>
      <c r="L8" s="10"/>
      <c r="M8" s="6"/>
      <c r="N8" s="6"/>
      <c r="O8" s="6"/>
      <c r="P8" s="6"/>
      <c r="Q8" s="6"/>
      <c r="R8" s="6"/>
      <c r="S8" s="11"/>
      <c r="T8" s="26" t="str">
        <f>IF(C8="","",ROUND(CHOOSE(MATCH(C8,{5,6,7,8,10,12,14,15,16,18,20,22,25,28,32,35,40,45},0),0.154,0.222,0.302,0.395,0.617,0.888,1.209,1.388,1.579,1.998,2.467,2.985,3.855,4.835,6.315,7.555,9.868,12.489)*D8*E8*G8/1000,3))</f>
        <v/>
      </c>
      <c r="V8" s="21" t="s">
        <v>22</v>
      </c>
      <c r="W8" s="22">
        <f t="shared" ref="W8:AC8" si="1">SUMIF($C:$C,W7,$T:$T)</f>
        <v>0</v>
      </c>
      <c r="X8" s="22">
        <f t="shared" si="1"/>
        <v>0</v>
      </c>
      <c r="Y8" s="22">
        <f t="shared" si="1"/>
        <v>0</v>
      </c>
      <c r="Z8" s="22">
        <f t="shared" si="1"/>
        <v>0</v>
      </c>
      <c r="AA8" s="22">
        <f t="shared" si="1"/>
        <v>0</v>
      </c>
      <c r="AB8" s="22">
        <f t="shared" si="1"/>
        <v>0</v>
      </c>
      <c r="AC8" s="22">
        <f t="shared" si="1"/>
        <v>0</v>
      </c>
      <c r="AD8" s="23">
        <f>SUM(W8:AC8)</f>
        <v>0</v>
      </c>
    </row>
    <row r="9" spans="1:31" ht="26.25" customHeight="1" thickTop="1" x14ac:dyDescent="0.25">
      <c r="A9" s="4"/>
      <c r="B9" s="4"/>
      <c r="C9" s="5"/>
      <c r="D9" s="6"/>
      <c r="E9" s="6"/>
      <c r="F9" s="7">
        <f t="shared" si="0"/>
        <v>0</v>
      </c>
      <c r="G9" s="8"/>
      <c r="H9" s="9"/>
      <c r="I9" s="6"/>
      <c r="J9" s="6"/>
      <c r="K9" s="6"/>
      <c r="L9" s="10"/>
      <c r="M9" s="6"/>
      <c r="N9" s="6"/>
      <c r="O9" s="6"/>
      <c r="P9" s="6"/>
      <c r="Q9" s="6"/>
      <c r="R9" s="6"/>
      <c r="S9" s="11"/>
      <c r="T9" s="26" t="str">
        <f>IF(C9="","",ROUND(CHOOSE(MATCH(C9,{5,6,7,8,10,12,14,15,16,18,20,22,25,28,32,35,40,45},0),0.154,0.222,0.302,0.395,0.617,0.888,1.209,1.388,1.579,1.998,2.467,2.985,3.855,4.835,6.315,7.555,9.868,12.489)*D9*E9*G9/1000,3))</f>
        <v/>
      </c>
    </row>
    <row r="10" spans="1:31" ht="26.25" customHeight="1" x14ac:dyDescent="0.25">
      <c r="A10" s="4"/>
      <c r="B10" s="4"/>
      <c r="C10" s="5"/>
      <c r="D10" s="6"/>
      <c r="E10" s="6"/>
      <c r="F10" s="7">
        <f t="shared" si="0"/>
        <v>0</v>
      </c>
      <c r="G10" s="8"/>
      <c r="H10" s="9"/>
      <c r="I10" s="6"/>
      <c r="J10" s="6"/>
      <c r="K10" s="6"/>
      <c r="L10" s="10"/>
      <c r="M10" s="6"/>
      <c r="N10" s="6"/>
      <c r="O10" s="6"/>
      <c r="P10" s="6"/>
      <c r="Q10" s="6"/>
      <c r="R10" s="6"/>
      <c r="S10" s="11"/>
      <c r="T10" s="26" t="str">
        <f>IF(C10="","",ROUND(CHOOSE(MATCH(C10,{5,6,7,8,10,12,14,15,16,18,20,22,25,28,32,35,40,45},0),0.154,0.222,0.302,0.395,0.617,0.888,1.209,1.388,1.579,1.998,2.467,2.985,3.855,4.835,6.315,7.555,9.868,12.489)*D10*E10*G10/1000,3))</f>
        <v/>
      </c>
    </row>
    <row r="11" spans="1:31" ht="26.25" customHeight="1" x14ac:dyDescent="0.25">
      <c r="A11" s="4"/>
      <c r="B11" s="4"/>
      <c r="C11" s="5"/>
      <c r="D11" s="6"/>
      <c r="E11" s="6"/>
      <c r="F11" s="7">
        <f t="shared" si="0"/>
        <v>0</v>
      </c>
      <c r="G11" s="8"/>
      <c r="H11" s="9"/>
      <c r="I11" s="6"/>
      <c r="J11" s="6"/>
      <c r="K11" s="6"/>
      <c r="L11" s="10"/>
      <c r="M11" s="6"/>
      <c r="N11" s="6"/>
      <c r="O11" s="6"/>
      <c r="P11" s="6"/>
      <c r="Q11" s="6"/>
      <c r="R11" s="6"/>
      <c r="S11" s="11"/>
      <c r="T11" s="26" t="str">
        <f>IF(C11="","",ROUND(CHOOSE(MATCH(C11,{5,6,7,8,10,12,14,15,16,18,20,22,25,28,32,35,40,45},0),0.154,0.222,0.302,0.395,0.617,0.888,1.209,1.388,1.579,1.998,2.467,2.985,3.855,4.835,6.315,7.555,9.868,12.489)*D11*E11*G11/1000,3))</f>
        <v/>
      </c>
    </row>
    <row r="12" spans="1:31" ht="26.25" customHeight="1" x14ac:dyDescent="0.25">
      <c r="A12" s="4"/>
      <c r="B12" s="4"/>
      <c r="C12" s="5"/>
      <c r="D12" s="6"/>
      <c r="E12" s="6"/>
      <c r="F12" s="7">
        <f t="shared" si="0"/>
        <v>0</v>
      </c>
      <c r="G12" s="8"/>
      <c r="H12" s="9"/>
      <c r="I12" s="6"/>
      <c r="J12" s="6"/>
      <c r="K12" s="6"/>
      <c r="L12" s="10"/>
      <c r="M12" s="6"/>
      <c r="N12" s="6"/>
      <c r="O12" s="6"/>
      <c r="P12" s="6"/>
      <c r="Q12" s="6"/>
      <c r="R12" s="6"/>
      <c r="S12" s="11"/>
      <c r="T12" s="26" t="str">
        <f>IF(C12="","",ROUND(CHOOSE(MATCH(C12,{5,6,7,8,10,12,14,15,16,18,20,22,25,28,32,35,40,45},0),0.154,0.222,0.302,0.395,0.617,0.888,1.209,1.388,1.579,1.998,2.467,2.985,3.855,4.835,6.315,7.555,9.868,12.489)*D12*E12*G12/1000,3))</f>
        <v/>
      </c>
    </row>
    <row r="13" spans="1:31" ht="26.25" customHeight="1" x14ac:dyDescent="0.25">
      <c r="A13" s="4"/>
      <c r="B13" s="4"/>
      <c r="C13" s="5"/>
      <c r="D13" s="6"/>
      <c r="E13" s="6"/>
      <c r="F13" s="7">
        <f t="shared" si="0"/>
        <v>0</v>
      </c>
      <c r="G13" s="8"/>
      <c r="H13" s="9"/>
      <c r="I13" s="6"/>
      <c r="J13" s="6"/>
      <c r="K13" s="6"/>
      <c r="L13" s="10"/>
      <c r="M13" s="6"/>
      <c r="N13" s="6"/>
      <c r="O13" s="6"/>
      <c r="P13" s="6"/>
      <c r="Q13" s="6"/>
      <c r="R13" s="6"/>
      <c r="S13" s="11"/>
      <c r="T13" s="26" t="str">
        <f>IF(C13="","",ROUND(CHOOSE(MATCH(C13,{5,6,7,8,10,12,14,15,16,18,20,22,25,28,32,35,40,45},0),0.154,0.222,0.302,0.395,0.617,0.888,1.209,1.388,1.579,1.998,2.467,2.985,3.855,4.835,6.315,7.555,9.868,12.489)*D13*E13*G13/1000,3))</f>
        <v/>
      </c>
    </row>
    <row r="14" spans="1:31" ht="26.25" customHeight="1" x14ac:dyDescent="0.25">
      <c r="A14" s="4"/>
      <c r="B14" s="4"/>
      <c r="C14" s="5"/>
      <c r="D14" s="6"/>
      <c r="E14" s="6"/>
      <c r="F14" s="7">
        <f t="shared" si="0"/>
        <v>0</v>
      </c>
      <c r="G14" s="8"/>
      <c r="H14" s="9"/>
      <c r="I14" s="6"/>
      <c r="J14" s="6"/>
      <c r="K14" s="6"/>
      <c r="L14" s="10"/>
      <c r="M14" s="6"/>
      <c r="N14" s="6"/>
      <c r="O14" s="6"/>
      <c r="P14" s="6"/>
      <c r="Q14" s="6"/>
      <c r="R14" s="6"/>
      <c r="S14" s="11"/>
      <c r="T14" s="26" t="str">
        <f>IF(C14="","",ROUND(CHOOSE(MATCH(C14,{5,6,7,8,10,12,14,15,16,18,20,22,25,28,32,35,40,45},0),0.154,0.222,0.302,0.395,0.617,0.888,1.209,1.388,1.579,1.998,2.467,2.985,3.855,4.835,6.315,7.555,9.868,12.489)*D14*E14*G14/1000,3))</f>
        <v/>
      </c>
    </row>
    <row r="15" spans="1:31" ht="26.25" customHeight="1" x14ac:dyDescent="0.25">
      <c r="A15" s="4"/>
      <c r="B15" s="4"/>
      <c r="C15" s="5"/>
      <c r="D15" s="6"/>
      <c r="E15" s="6"/>
      <c r="F15" s="7">
        <f t="shared" si="0"/>
        <v>0</v>
      </c>
      <c r="G15" s="8"/>
      <c r="H15" s="9"/>
      <c r="I15" s="6"/>
      <c r="J15" s="6"/>
      <c r="K15" s="6"/>
      <c r="L15" s="10"/>
      <c r="M15" s="6"/>
      <c r="N15" s="6"/>
      <c r="O15" s="6"/>
      <c r="P15" s="6"/>
      <c r="Q15" s="6"/>
      <c r="R15" s="6"/>
      <c r="S15" s="11"/>
      <c r="T15" s="26" t="str">
        <f>IF(C15="","",ROUND(CHOOSE(MATCH(C15,{5,6,7,8,10,12,14,15,16,18,20,22,25,28,32,35,40,45},0),0.154,0.222,0.302,0.395,0.617,0.888,1.209,1.388,1.579,1.998,2.467,2.985,3.855,4.835,6.315,7.555,9.868,12.489)*D15*E15*G15/1000,3))</f>
        <v/>
      </c>
    </row>
    <row r="16" spans="1:31" ht="26.25" customHeight="1" x14ac:dyDescent="0.25">
      <c r="A16" s="4"/>
      <c r="B16" s="4"/>
      <c r="C16" s="5"/>
      <c r="D16" s="6"/>
      <c r="E16" s="6"/>
      <c r="F16" s="7"/>
      <c r="G16" s="8"/>
      <c r="H16" s="9"/>
      <c r="I16" s="6"/>
      <c r="J16" s="6"/>
      <c r="K16" s="6"/>
      <c r="L16" s="10"/>
      <c r="M16" s="6"/>
      <c r="N16" s="6"/>
      <c r="O16" s="6"/>
      <c r="P16" s="6"/>
      <c r="Q16" s="6"/>
      <c r="R16" s="6"/>
      <c r="S16" s="11"/>
      <c r="T16" s="26" t="str">
        <f>IF(C16="","",ROUND(CHOOSE(MATCH(C16,{5,6,7,8,10,12,14,15,16,18,20,22,25,28,32,35,40,45},0),0.154,0.222,0.302,0.395,0.617,0.888,1.209,1.388,1.579,1.998,2.467,2.985,3.855,4.835,6.315,7.555,9.868,12.489)*D16*E16*G16/1000,3))</f>
        <v/>
      </c>
    </row>
    <row r="17" spans="1:20" ht="26.25" customHeight="1" x14ac:dyDescent="0.25">
      <c r="A17" s="4"/>
      <c r="B17" s="4"/>
      <c r="C17" s="5"/>
      <c r="D17" s="6"/>
      <c r="E17" s="6"/>
      <c r="F17" s="7">
        <f t="shared" si="0"/>
        <v>0</v>
      </c>
      <c r="G17" s="8"/>
      <c r="H17" s="9"/>
      <c r="I17" s="6"/>
      <c r="J17" s="6"/>
      <c r="K17" s="6"/>
      <c r="L17" s="10"/>
      <c r="M17" s="6"/>
      <c r="N17" s="6"/>
      <c r="O17" s="6"/>
      <c r="P17" s="6"/>
      <c r="Q17" s="6"/>
      <c r="R17" s="6"/>
      <c r="S17" s="11"/>
      <c r="T17" s="26" t="str">
        <f>IF(C17="","",ROUND(CHOOSE(MATCH(C17,{5,6,7,8,10,12,14,15,16,18,20,22,25,28,32,35,40,45},0),0.154,0.222,0.302,0.395,0.617,0.888,1.209,1.388,1.579,1.998,2.467,2.985,3.855,4.835,6.315,7.555,9.868,12.489)*D17*E17*G17/1000,3))</f>
        <v/>
      </c>
    </row>
    <row r="18" spans="1:20" ht="26.25" customHeight="1" x14ac:dyDescent="0.25">
      <c r="A18" s="4"/>
      <c r="B18" s="4"/>
      <c r="C18" s="5"/>
      <c r="D18" s="6"/>
      <c r="E18" s="6"/>
      <c r="F18" s="7">
        <f t="shared" si="0"/>
        <v>0</v>
      </c>
      <c r="G18" s="8"/>
      <c r="H18" s="9"/>
      <c r="I18" s="6"/>
      <c r="J18" s="6"/>
      <c r="K18" s="6"/>
      <c r="L18" s="10"/>
      <c r="M18" s="6"/>
      <c r="N18" s="6"/>
      <c r="O18" s="6"/>
      <c r="P18" s="6"/>
      <c r="Q18" s="6"/>
      <c r="R18" s="6"/>
      <c r="S18" s="11"/>
      <c r="T18" s="26" t="str">
        <f>IF(C18="","",ROUND(CHOOSE(MATCH(C18,{5,6,7,8,10,12,14,15,16,18,20,22,25,28,32,35,40,45},0),0.154,0.222,0.302,0.395,0.617,0.888,1.209,1.388,1.579,1.998,2.467,2.985,3.855,4.835,6.315,7.555,9.868,12.489)*D18*E18*G18/1000,3))</f>
        <v/>
      </c>
    </row>
    <row r="19" spans="1:20" ht="26.25" customHeight="1" x14ac:dyDescent="0.25">
      <c r="A19" s="4"/>
      <c r="B19" s="4"/>
      <c r="C19" s="5"/>
      <c r="D19" s="6"/>
      <c r="E19" s="6"/>
      <c r="F19" s="7">
        <f t="shared" si="0"/>
        <v>0</v>
      </c>
      <c r="G19" s="8"/>
      <c r="H19" s="9"/>
      <c r="I19" s="6"/>
      <c r="J19" s="6"/>
      <c r="K19" s="6"/>
      <c r="L19" s="10"/>
      <c r="M19" s="6"/>
      <c r="N19" s="6"/>
      <c r="O19" s="6"/>
      <c r="P19" s="6"/>
      <c r="Q19" s="6"/>
      <c r="R19" s="6"/>
      <c r="S19" s="11"/>
      <c r="T19" s="26" t="str">
        <f>IF(C19="","",ROUND(CHOOSE(MATCH(C19,{5,6,7,8,10,12,14,15,16,18,20,22,25,28,32,35,40,45},0),0.154,0.222,0.302,0.395,0.617,0.888,1.209,1.388,1.579,1.998,2.467,2.985,3.855,4.835,6.315,7.555,9.868,12.489)*D19*E19*G19/1000,3))</f>
        <v/>
      </c>
    </row>
    <row r="20" spans="1:20" ht="26.25" customHeight="1" x14ac:dyDescent="0.25">
      <c r="A20" s="4"/>
      <c r="B20" s="4"/>
      <c r="C20" s="5"/>
      <c r="D20" s="6"/>
      <c r="E20" s="6"/>
      <c r="F20" s="7">
        <f t="shared" si="0"/>
        <v>0</v>
      </c>
      <c r="G20" s="8"/>
      <c r="H20" s="9"/>
      <c r="I20" s="6"/>
      <c r="J20" s="6"/>
      <c r="K20" s="6"/>
      <c r="L20" s="10"/>
      <c r="M20" s="6"/>
      <c r="N20" s="6"/>
      <c r="O20" s="6"/>
      <c r="P20" s="6"/>
      <c r="Q20" s="6"/>
      <c r="R20" s="6"/>
      <c r="S20" s="11"/>
      <c r="T20" s="26" t="str">
        <f>IF(C20="","",ROUND(CHOOSE(MATCH(C20,{5,6,7,8,10,12,14,15,16,18,20,22,25,28,32,35,40,45},0),0.154,0.222,0.302,0.395,0.617,0.888,1.209,1.388,1.579,1.998,2.467,2.985,3.855,4.835,6.315,7.555,9.868,12.489)*D20*E20*G20/1000,3))</f>
        <v/>
      </c>
    </row>
    <row r="21" spans="1:20" ht="26.25" customHeight="1" x14ac:dyDescent="0.25">
      <c r="A21" s="4"/>
      <c r="B21" s="4"/>
      <c r="C21" s="5"/>
      <c r="D21" s="6"/>
      <c r="E21" s="6"/>
      <c r="F21" s="7">
        <f t="shared" si="0"/>
        <v>0</v>
      </c>
      <c r="G21" s="8"/>
      <c r="H21" s="9"/>
      <c r="I21" s="6"/>
      <c r="J21" s="6"/>
      <c r="K21" s="6"/>
      <c r="L21" s="10"/>
      <c r="M21" s="6"/>
      <c r="N21" s="6"/>
      <c r="O21" s="6"/>
      <c r="P21" s="6"/>
      <c r="Q21" s="6"/>
      <c r="R21" s="6"/>
      <c r="S21" s="11"/>
      <c r="T21" s="26" t="str">
        <f>IF(C21="","",ROUND(CHOOSE(MATCH(C21,{5,6,7,8,10,12,14,15,16,18,20,22,25,28,32,35,40,45},0),0.154,0.222,0.302,0.395,0.617,0.888,1.209,1.388,1.579,1.998,2.467,2.985,3.855,4.835,6.315,7.555,9.868,12.489)*D21*E21*G21/1000,3))</f>
        <v/>
      </c>
    </row>
    <row r="22" spans="1:20" ht="26.25" customHeight="1" x14ac:dyDescent="0.25">
      <c r="A22" s="4"/>
      <c r="B22" s="4"/>
      <c r="C22" s="5"/>
      <c r="D22" s="6"/>
      <c r="E22" s="6"/>
      <c r="F22" s="7">
        <f t="shared" si="0"/>
        <v>0</v>
      </c>
      <c r="G22" s="8"/>
      <c r="H22" s="9"/>
      <c r="I22" s="6"/>
      <c r="J22" s="6"/>
      <c r="K22" s="6"/>
      <c r="L22" s="10"/>
      <c r="M22" s="6"/>
      <c r="N22" s="6"/>
      <c r="O22" s="6"/>
      <c r="P22" s="6"/>
      <c r="Q22" s="6"/>
      <c r="R22" s="6"/>
      <c r="S22" s="11"/>
      <c r="T22" s="26" t="str">
        <f>IF(C22="","",ROUND(CHOOSE(MATCH(C22,{5,6,7,8,10,12,14,15,16,18,20,22,25,28,32,35,40,45},0),0.154,0.222,0.302,0.395,0.617,0.888,1.209,1.388,1.579,1.998,2.467,2.985,3.855,4.835,6.315,7.555,9.868,12.489)*D22*E22*G22/1000,3))</f>
        <v/>
      </c>
    </row>
    <row r="23" spans="1:20" ht="26.25" customHeight="1" x14ac:dyDescent="0.25">
      <c r="A23" s="4"/>
      <c r="B23" s="4"/>
      <c r="C23" s="5"/>
      <c r="D23" s="6"/>
      <c r="E23" s="6"/>
      <c r="F23" s="7">
        <f t="shared" si="0"/>
        <v>0</v>
      </c>
      <c r="G23" s="8"/>
      <c r="H23" s="9"/>
      <c r="I23" s="6"/>
      <c r="J23" s="6"/>
      <c r="K23" s="6"/>
      <c r="L23" s="10"/>
      <c r="M23" s="6"/>
      <c r="N23" s="6"/>
      <c r="O23" s="6"/>
      <c r="P23" s="6"/>
      <c r="Q23" s="6"/>
      <c r="R23" s="6"/>
      <c r="S23" s="11"/>
      <c r="T23" s="26" t="str">
        <f>IF(C23="","",ROUND(CHOOSE(MATCH(C23,{5,6,7,8,10,12,14,15,16,18,20,22,25,28,32,35,40,45},0),0.154,0.222,0.302,0.395,0.617,0.888,1.209,1.388,1.579,1.998,2.467,2.985,3.855,4.835,6.315,7.555,9.868,12.489)*D23*E23*G23/1000,3))</f>
        <v/>
      </c>
    </row>
    <row r="24" spans="1:20" ht="26.25" customHeight="1" x14ac:dyDescent="0.25">
      <c r="A24" s="4"/>
      <c r="B24" s="4"/>
      <c r="C24" s="5"/>
      <c r="D24" s="6"/>
      <c r="E24" s="6"/>
      <c r="F24" s="7">
        <f t="shared" si="0"/>
        <v>0</v>
      </c>
      <c r="G24" s="8"/>
      <c r="H24" s="9"/>
      <c r="I24" s="6"/>
      <c r="J24" s="6"/>
      <c r="K24" s="6"/>
      <c r="L24" s="10"/>
      <c r="M24" s="6"/>
      <c r="N24" s="6"/>
      <c r="O24" s="6"/>
      <c r="P24" s="6"/>
      <c r="Q24" s="6"/>
      <c r="R24" s="6"/>
      <c r="S24" s="11"/>
      <c r="T24" s="26" t="str">
        <f>IF(C24="","",ROUND(CHOOSE(MATCH(C24,{5,6,7,8,10,12,14,15,16,18,20,22,25,28,32,35,40,45},0),0.154,0.222,0.302,0.395,0.617,0.888,1.209,1.388,1.579,1.998,2.467,2.985,3.855,4.835,6.315,7.555,9.868,12.489)*D24*E24*G24/1000,3))</f>
        <v/>
      </c>
    </row>
    <row r="25" spans="1:20" ht="26.25" customHeight="1" x14ac:dyDescent="0.25">
      <c r="A25" s="4"/>
      <c r="B25" s="4"/>
      <c r="C25" s="5"/>
      <c r="D25" s="6"/>
      <c r="E25" s="6"/>
      <c r="F25" s="7">
        <f t="shared" si="0"/>
        <v>0</v>
      </c>
      <c r="G25" s="8"/>
      <c r="H25" s="9"/>
      <c r="I25" s="6"/>
      <c r="J25" s="6"/>
      <c r="K25" s="6"/>
      <c r="L25" s="10"/>
      <c r="M25" s="6"/>
      <c r="N25" s="6"/>
      <c r="O25" s="6"/>
      <c r="P25" s="6"/>
      <c r="Q25" s="6"/>
      <c r="R25" s="6"/>
      <c r="S25" s="11"/>
      <c r="T25" s="26" t="str">
        <f>IF(C25="","",ROUND(CHOOSE(MATCH(C25,{5,6,7,8,10,12,14,15,16,18,20,22,25,28,32,35,40,45},0),0.154,0.222,0.302,0.395,0.617,0.888,1.209,1.388,1.579,1.998,2.467,2.985,3.855,4.835,6.315,7.555,9.868,12.489)*D25*E25*G25/1000,3))</f>
        <v/>
      </c>
    </row>
    <row r="26" spans="1:20" ht="26.25" customHeight="1" x14ac:dyDescent="0.25">
      <c r="A26" s="4"/>
      <c r="B26" s="4"/>
      <c r="C26" s="5"/>
      <c r="D26" s="6"/>
      <c r="E26" s="6"/>
      <c r="F26" s="7">
        <f t="shared" si="0"/>
        <v>0</v>
      </c>
      <c r="G26" s="8"/>
      <c r="H26" s="9"/>
      <c r="I26" s="6"/>
      <c r="J26" s="6"/>
      <c r="K26" s="6"/>
      <c r="L26" s="10"/>
      <c r="M26" s="6"/>
      <c r="N26" s="6"/>
      <c r="O26" s="6"/>
      <c r="P26" s="6"/>
      <c r="Q26" s="6"/>
      <c r="R26" s="6"/>
      <c r="S26" s="11"/>
      <c r="T26" s="26" t="str">
        <f>IF(C26="","",ROUND(CHOOSE(MATCH(C26,{5,6,7,8,10,12,14,15,16,18,20,22,25,28,32,35,40,45},0),0.154,0.222,0.302,0.395,0.617,0.888,1.209,1.388,1.579,1.998,2.467,2.985,3.855,4.835,6.315,7.555,9.868,12.489)*D26*E26*G26/1000,3))</f>
        <v/>
      </c>
    </row>
    <row r="27" spans="1:20" ht="26.25" customHeight="1" x14ac:dyDescent="0.25">
      <c r="A27" s="4"/>
      <c r="B27" s="4"/>
      <c r="C27" s="5"/>
      <c r="D27" s="6"/>
      <c r="E27" s="6"/>
      <c r="F27" s="7">
        <f t="shared" si="0"/>
        <v>0</v>
      </c>
      <c r="G27" s="8"/>
      <c r="H27" s="9"/>
      <c r="I27" s="6"/>
      <c r="J27" s="6"/>
      <c r="K27" s="6"/>
      <c r="L27" s="10"/>
      <c r="M27" s="6"/>
      <c r="N27" s="6"/>
      <c r="O27" s="6"/>
      <c r="P27" s="6"/>
      <c r="Q27" s="6"/>
      <c r="R27" s="6"/>
      <c r="S27" s="11"/>
      <c r="T27" s="26" t="str">
        <f>IF(C27="","",ROUND(CHOOSE(MATCH(C27,{5,6,7,8,10,12,14,15,16,18,20,22,25,28,32,35,40,45},0),0.154,0.222,0.302,0.395,0.617,0.888,1.209,1.388,1.579,1.998,2.467,2.985,3.855,4.835,6.315,7.555,9.868,12.489)*D27*E27*G27/1000,3))</f>
        <v/>
      </c>
    </row>
    <row r="28" spans="1:20" ht="26.25" customHeight="1" x14ac:dyDescent="0.25">
      <c r="A28" s="4"/>
      <c r="B28" s="4"/>
      <c r="C28" s="5"/>
      <c r="D28" s="6"/>
      <c r="E28" s="6"/>
      <c r="F28" s="7">
        <f t="shared" si="0"/>
        <v>0</v>
      </c>
      <c r="G28" s="8"/>
      <c r="H28" s="9"/>
      <c r="I28" s="6"/>
      <c r="J28" s="6"/>
      <c r="K28" s="6"/>
      <c r="L28" s="10"/>
      <c r="M28" s="6"/>
      <c r="N28" s="6"/>
      <c r="O28" s="6"/>
      <c r="P28" s="6"/>
      <c r="Q28" s="6"/>
      <c r="R28" s="6"/>
      <c r="S28" s="11"/>
      <c r="T28" s="26" t="str">
        <f>IF(C28="","",ROUND(CHOOSE(MATCH(C28,{5,6,7,8,10,12,14,15,16,18,20,22,25,28,32,35,40,45},0),0.154,0.222,0.302,0.395,0.617,0.888,1.209,1.388,1.579,1.998,2.467,2.985,3.855,4.835,6.315,7.555,9.868,12.489)*D28*E28*G28/1000,3))</f>
        <v/>
      </c>
    </row>
    <row r="29" spans="1:20" ht="26.25" customHeight="1" x14ac:dyDescent="0.25">
      <c r="A29" s="4"/>
      <c r="B29" s="4"/>
      <c r="C29" s="5"/>
      <c r="D29" s="6"/>
      <c r="E29" s="6"/>
      <c r="F29" s="7">
        <f t="shared" si="0"/>
        <v>0</v>
      </c>
      <c r="G29" s="8"/>
      <c r="H29" s="9"/>
      <c r="I29" s="6"/>
      <c r="J29" s="6"/>
      <c r="K29" s="6"/>
      <c r="L29" s="10"/>
      <c r="M29" s="6"/>
      <c r="N29" s="6"/>
      <c r="O29" s="6"/>
      <c r="P29" s="6"/>
      <c r="Q29" s="6"/>
      <c r="R29" s="6"/>
      <c r="S29" s="11"/>
      <c r="T29" s="26" t="str">
        <f>IF(C29="","",ROUND(CHOOSE(MATCH(C29,{5,6,7,8,10,12,14,15,16,18,20,22,25,28,32,35,40,45},0),0.154,0.222,0.302,0.395,0.617,0.888,1.209,1.388,1.579,1.998,2.467,2.985,3.855,4.835,6.315,7.555,9.868,12.489)*D29*E29*G29/1000,3))</f>
        <v/>
      </c>
    </row>
    <row r="30" spans="1:20" ht="26.25" customHeight="1" x14ac:dyDescent="0.25">
      <c r="A30" s="4"/>
      <c r="B30" s="4"/>
      <c r="C30" s="5"/>
      <c r="D30" s="6"/>
      <c r="E30" s="6"/>
      <c r="F30" s="7">
        <f t="shared" si="0"/>
        <v>0</v>
      </c>
      <c r="G30" s="8"/>
      <c r="H30" s="9"/>
      <c r="I30" s="6"/>
      <c r="J30" s="6"/>
      <c r="K30" s="6"/>
      <c r="L30" s="10"/>
      <c r="M30" s="6"/>
      <c r="N30" s="6"/>
      <c r="O30" s="6"/>
      <c r="P30" s="6"/>
      <c r="Q30" s="6"/>
      <c r="R30" s="6"/>
      <c r="S30" s="11"/>
      <c r="T30" s="26" t="str">
        <f>IF(C30="","",ROUND(CHOOSE(MATCH(C30,{5,6,7,8,10,12,14,15,16,18,20,22,25,28,32,35,40,45},0),0.154,0.222,0.302,0.395,0.617,0.888,1.209,1.388,1.579,1.998,2.467,2.985,3.855,4.835,6.315,7.555,9.868,12.489)*D30*E30*G30/1000,3))</f>
        <v/>
      </c>
    </row>
    <row r="31" spans="1:20" ht="26.25" customHeight="1" x14ac:dyDescent="0.25">
      <c r="A31" s="4"/>
      <c r="B31" s="4"/>
      <c r="C31" s="5"/>
      <c r="D31" s="6"/>
      <c r="E31" s="6"/>
      <c r="F31" s="7">
        <f t="shared" si="0"/>
        <v>0</v>
      </c>
      <c r="G31" s="8"/>
      <c r="H31" s="9"/>
      <c r="I31" s="6"/>
      <c r="J31" s="6"/>
      <c r="K31" s="6"/>
      <c r="L31" s="10"/>
      <c r="M31" s="6"/>
      <c r="N31" s="6"/>
      <c r="O31" s="6"/>
      <c r="P31" s="6"/>
      <c r="Q31" s="6"/>
      <c r="R31" s="6"/>
      <c r="S31" s="11"/>
      <c r="T31" s="26" t="str">
        <f>IF(C31="","",ROUND(CHOOSE(MATCH(C31,{5,6,7,8,10,12,14,15,16,18,20,22,25,28,32,35,40,45},0),0.154,0.222,0.302,0.395,0.617,0.888,1.209,1.388,1.579,1.998,2.467,2.985,3.855,4.835,6.315,7.555,9.868,12.489)*D31*E31*G31/1000,3))</f>
        <v/>
      </c>
    </row>
    <row r="32" spans="1:20" ht="26.25" customHeight="1" x14ac:dyDescent="0.25">
      <c r="A32" s="4"/>
      <c r="B32" s="4"/>
      <c r="C32" s="5"/>
      <c r="D32" s="6"/>
      <c r="E32" s="6"/>
      <c r="F32" s="7">
        <f t="shared" si="0"/>
        <v>0</v>
      </c>
      <c r="G32" s="8"/>
      <c r="H32" s="9"/>
      <c r="I32" s="6"/>
      <c r="J32" s="6"/>
      <c r="K32" s="6"/>
      <c r="L32" s="10"/>
      <c r="M32" s="6"/>
      <c r="N32" s="6"/>
      <c r="O32" s="6"/>
      <c r="P32" s="6"/>
      <c r="Q32" s="6"/>
      <c r="R32" s="6"/>
      <c r="S32" s="11"/>
      <c r="T32" s="26" t="str">
        <f>IF(C32="","",ROUND(CHOOSE(MATCH(C32,{5,6,7,8,10,12,14,15,16,18,20,22,25,28,32,35,40,45},0),0.154,0.222,0.302,0.395,0.617,0.888,1.209,1.388,1.579,1.998,2.467,2.985,3.855,4.835,6.315,7.555,9.868,12.489)*D32*E32*G32/1000,3))</f>
        <v/>
      </c>
    </row>
    <row r="33" spans="1:20" ht="26.25" customHeight="1" x14ac:dyDescent="0.25">
      <c r="A33" s="4"/>
      <c r="B33" s="4"/>
      <c r="C33" s="5"/>
      <c r="D33" s="6"/>
      <c r="E33" s="6"/>
      <c r="F33" s="7">
        <f t="shared" si="0"/>
        <v>0</v>
      </c>
      <c r="G33" s="8"/>
      <c r="H33" s="9"/>
      <c r="I33" s="6"/>
      <c r="J33" s="6"/>
      <c r="K33" s="6"/>
      <c r="L33" s="10"/>
      <c r="M33" s="6"/>
      <c r="N33" s="6"/>
      <c r="O33" s="6"/>
      <c r="P33" s="6"/>
      <c r="Q33" s="6"/>
      <c r="R33" s="6"/>
      <c r="S33" s="11"/>
      <c r="T33" s="26" t="str">
        <f>IF(C33="","",ROUND(CHOOSE(MATCH(C33,{5,6,7,8,10,12,14,15,16,18,20,22,25,28,32,35,40,45},0),0.154,0.222,0.302,0.395,0.617,0.888,1.209,1.388,1.579,1.998,2.467,2.985,3.855,4.835,6.315,7.555,9.868,12.489)*D33*E33*G33/1000,3))</f>
        <v/>
      </c>
    </row>
  </sheetData>
  <phoneticPr fontId="3" type="noConversion"/>
  <dataValidations count="1">
    <dataValidation type="whole" allowBlank="1" showInputMessage="1" showErrorMessage="1" errorTitle="Bar size is not correct" error="Don't type any letters (like &quot;mm&quot; or &quot;T&quot;) with the dia of bar. Put the diameter number only." sqref="W7:AC7" xr:uid="{00000000-0002-0000-0400-000000000000}">
      <formula1>6</formula1>
      <formula2>40</formula2>
    </dataValidation>
  </dataValidations>
  <printOptions horizontalCentered="1"/>
  <pageMargins left="0.51181102362204722" right="0" top="0.11811023622047245" bottom="0.59055118110236227" header="0.11811023622047245" footer="0"/>
  <pageSetup paperSize="9" fitToHeight="0" orientation="portrait" r:id="rId1"/>
  <headerFooter alignWithMargins="0">
    <oddHeader>&amp;R&amp;8Page №:(&amp;P)</oddHeader>
    <oddFooter>&amp;LBBS Program License Number: 164
Manomav Engineers Pvt. Ltd_x000D_&amp;1#&amp;"Calibri"&amp;8&amp;K000000 Sensitivit&amp;R&amp;"Tahoma,Regular"Prepared by                                            Checked b&amp;"Arial,Regular"y&amp;LBBS Program License Number: 164
Manomav Engineers Pvt. Ltd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MacroDisabledInformation">
          <controlPr defaultSize="0" print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13</xdr:col>
                <xdr:colOff>60960</xdr:colOff>
                <xdr:row>7</xdr:row>
                <xdr:rowOff>160020</xdr:rowOff>
              </to>
            </anchor>
          </controlPr>
        </control>
      </mc:Choice>
      <mc:Fallback>
        <control shapeId="2049" r:id="rId4" name="MacroDisabledInformation"/>
      </mc:Fallback>
    </mc:AlternateContent>
    <mc:AlternateContent xmlns:mc="http://schemas.openxmlformats.org/markup-compatibility/2006">
      <mc:Choice Requires="x14">
        <control shapeId="2050" r:id="rId6" name="PrintOptionLabel">
          <controlPr defaultSize="0" autoLine="0" r:id="rId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0" r:id="rId6" name="PrintOptionLabel"/>
      </mc:Fallback>
    </mc:AlternateContent>
    <mc:AlternateContent xmlns:mc="http://schemas.openxmlformats.org/markup-compatibility/2006">
      <mc:Choice Requires="x14">
        <control shapeId="2051" r:id="rId8" name="BBSProgram">
          <controlPr defaultSize="0" autoLine="0" r:id="rId9">
            <anchor moveWithCells="1"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51" r:id="rId8" name="BBSProgram"/>
      </mc:Fallback>
    </mc:AlternateContent>
    <mc:AlternateContent xmlns:mc="http://schemas.openxmlformats.org/markup-compatibility/2006">
      <mc:Choice Requires="x14">
        <control shapeId="2052" r:id="rId10" name="ProgramFileFullName">
          <controlPr defaultSize="0" autoLine="0" r:id="rId11">
            <anchor moveWithCells="1">
              <from>
                <xdr:col>1</xdr:col>
                <xdr:colOff>304800</xdr:colOff>
                <xdr:row>1</xdr:row>
                <xdr:rowOff>106680</xdr:rowOff>
              </from>
              <to>
                <xdr:col>1</xdr:col>
                <xdr:colOff>312420</xdr:colOff>
                <xdr:row>1</xdr:row>
                <xdr:rowOff>114300</xdr:rowOff>
              </to>
            </anchor>
          </controlPr>
        </control>
      </mc:Choice>
      <mc:Fallback>
        <control shapeId="2052" r:id="rId10" name="ProgramFileFullName"/>
      </mc:Fallback>
    </mc:AlternateContent>
    <mc:AlternateContent xmlns:mc="http://schemas.openxmlformats.org/markup-compatibility/2006">
      <mc:Choice Requires="x14">
        <control shapeId="2053" r:id="rId12" name="AutomaticallyOpenProgramFile">
          <controlPr defaultSize="0" autoLine="0" r:id="rId13">
            <anchor moveWithCells="1">
              <from>
                <xdr:col>1</xdr:col>
                <xdr:colOff>457200</xdr:colOff>
                <xdr:row>1</xdr:row>
                <xdr:rowOff>259080</xdr:rowOff>
              </from>
              <to>
                <xdr:col>1</xdr:col>
                <xdr:colOff>464820</xdr:colOff>
                <xdr:row>1</xdr:row>
                <xdr:rowOff>266700</xdr:rowOff>
              </to>
            </anchor>
          </controlPr>
        </control>
      </mc:Choice>
      <mc:Fallback>
        <control shapeId="2053" r:id="rId12" name="AutomaticallyOpenProgramFile"/>
      </mc:Fallback>
    </mc:AlternateContent>
    <mc:AlternateContent xmlns:mc="http://schemas.openxmlformats.org/markup-compatibility/2006">
      <mc:Choice Requires="x14">
        <control shapeId="2054" r:id="rId14" name="CodeColumn">
          <controlPr defaultSize="0" autoLine="0" r:id="rId15">
            <anchor moveWithCells="1">
              <from>
                <xdr:col>0</xdr:col>
                <xdr:colOff>60960</xdr:colOff>
                <xdr:row>0</xdr:row>
                <xdr:rowOff>60960</xdr:rowOff>
              </from>
              <to>
                <xdr:col>0</xdr:col>
                <xdr:colOff>83820</xdr:colOff>
                <xdr:row>0</xdr:row>
                <xdr:rowOff>83820</xdr:rowOff>
              </to>
            </anchor>
          </controlPr>
        </control>
      </mc:Choice>
      <mc:Fallback>
        <control shapeId="2054" r:id="rId14" name="CodeColumn"/>
      </mc:Fallback>
    </mc:AlternateContent>
    <mc:AlternateContent xmlns:mc="http://schemas.openxmlformats.org/markup-compatibility/2006">
      <mc:Choice Requires="x14">
        <control shapeId="2055" r:id="rId16" name="LastRowOfSummary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5" r:id="rId16" name="LastRowOfSummary"/>
      </mc:Fallback>
    </mc:AlternateContent>
    <mc:AlternateContent xmlns:mc="http://schemas.openxmlformats.org/markup-compatibility/2006">
      <mc:Choice Requires="x14">
        <control shapeId="2056" r:id="rId18" name="PrintOptionInformer">
          <controlPr defaultSize="0" print="0" autoLine="0" r:id="rId19">
            <anchor moveWithCells="1">
              <from>
                <xdr:col>18</xdr:col>
                <xdr:colOff>480060</xdr:colOff>
                <xdr:row>0</xdr:row>
                <xdr:rowOff>0</xdr:rowOff>
              </from>
              <to>
                <xdr:col>18</xdr:col>
                <xdr:colOff>1524000</xdr:colOff>
                <xdr:row>1</xdr:row>
                <xdr:rowOff>175260</xdr:rowOff>
              </to>
            </anchor>
          </controlPr>
        </control>
      </mc:Choice>
      <mc:Fallback>
        <control shapeId="2056" r:id="rId18" name="PrintOptionInformer"/>
      </mc:Fallback>
    </mc:AlternateContent>
    <mc:AlternateContent xmlns:mc="http://schemas.openxmlformats.org/markup-compatibility/2006">
      <mc:Choice Requires="x14">
        <control shapeId="2057" r:id="rId20" name="Guidelines">
          <controlPr defaultSize="0" print="0" autoLine="0" r:id="rId21">
            <anchor moveWithCells="1" sizeWithCells="1">
              <from>
                <xdr:col>21</xdr:col>
                <xdr:colOff>114300</xdr:colOff>
                <xdr:row>10</xdr:row>
                <xdr:rowOff>76200</xdr:rowOff>
              </from>
              <to>
                <xdr:col>29</xdr:col>
                <xdr:colOff>480060</xdr:colOff>
                <xdr:row>20</xdr:row>
                <xdr:rowOff>327660</xdr:rowOff>
              </to>
            </anchor>
          </controlPr>
        </control>
      </mc:Choice>
      <mc:Fallback>
        <control shapeId="2057" r:id="rId20" name="Guidelines"/>
      </mc:Fallback>
    </mc:AlternateContent>
    <mc:AlternateContent xmlns:mc="http://schemas.openxmlformats.org/markup-compatibility/2006">
      <mc:Choice Requires="x14">
        <control shapeId="2058" r:id="rId22" name="SaveTemplete">
          <controlPr defaultSize="0" print="0" autoLine="0" r:id="rId23">
            <anchor moveWithCells="1">
              <from>
                <xdr:col>21</xdr:col>
                <xdr:colOff>114300</xdr:colOff>
                <xdr:row>8</xdr:row>
                <xdr:rowOff>114300</xdr:rowOff>
              </from>
              <to>
                <xdr:col>23</xdr:col>
                <xdr:colOff>129540</xdr:colOff>
                <xdr:row>9</xdr:row>
                <xdr:rowOff>53340</xdr:rowOff>
              </to>
            </anchor>
          </controlPr>
        </control>
      </mc:Choice>
      <mc:Fallback>
        <control shapeId="2058" r:id="rId22" name="SaveTemplete"/>
      </mc:Fallback>
    </mc:AlternateContent>
    <mc:AlternateContent xmlns:mc="http://schemas.openxmlformats.org/markup-compatibility/2006">
      <mc:Choice Requires="x14">
        <control shapeId="2059" r:id="rId24" name="DoNotTypeInTemplate">
          <controlPr defaultSize="0" print="0" autoLine="0" r:id="rId25">
            <anchor>
              <from>
                <xdr:col>1</xdr:col>
                <xdr:colOff>106680</xdr:colOff>
                <xdr:row>7</xdr:row>
                <xdr:rowOff>289560</xdr:rowOff>
              </from>
              <to>
                <xdr:col>18</xdr:col>
                <xdr:colOff>1478280</xdr:colOff>
                <xdr:row>11</xdr:row>
                <xdr:rowOff>243840</xdr:rowOff>
              </to>
            </anchor>
          </controlPr>
        </control>
      </mc:Choice>
      <mc:Fallback>
        <control shapeId="2059" r:id="rId24" name="DoNotTypeInTemplate"/>
      </mc:Fallback>
    </mc:AlternateContent>
    <mc:AlternateContent xmlns:mc="http://schemas.openxmlformats.org/markup-compatibility/2006">
      <mc:Choice Requires="x14">
        <control shapeId="2060" r:id="rId26" name="Capitalization">
          <controlPr defaultSize="0" autoLine="0" r:id="rId27">
            <anchor moveWithCells="1">
              <from>
                <xdr:col>1</xdr:col>
                <xdr:colOff>609600</xdr:colOff>
                <xdr:row>2</xdr:row>
                <xdr:rowOff>0</xdr:rowOff>
              </from>
              <to>
                <xdr:col>1</xdr:col>
                <xdr:colOff>617220</xdr:colOff>
                <xdr:row>2</xdr:row>
                <xdr:rowOff>7620</xdr:rowOff>
              </to>
            </anchor>
          </controlPr>
        </control>
      </mc:Choice>
      <mc:Fallback>
        <control shapeId="2060" r:id="rId26" name="Capitalization"/>
      </mc:Fallback>
    </mc:AlternateContent>
    <mc:AlternateContent xmlns:mc="http://schemas.openxmlformats.org/markup-compatibility/2006">
      <mc:Choice Requires="x14">
        <control shapeId="2061" r:id="rId28" name="Registered">
          <controlPr defaultSize="0" autoLine="0" r:id="rId29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0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61" r:id="rId28" name="Registered"/>
      </mc:Fallback>
    </mc:AlternateContent>
    <mc:AlternateContent xmlns:mc="http://schemas.openxmlformats.org/markup-compatibility/2006">
      <mc:Choice Requires="x14">
        <control shapeId="2062" r:id="rId30" name="Open_OptionsForm">
          <controlPr defaultSize="0" print="0" autoLine="0" r:id="rId31">
            <anchor moveWithCells="1">
              <from>
                <xdr:col>20</xdr:col>
                <xdr:colOff>22860</xdr:colOff>
                <xdr:row>0</xdr:row>
                <xdr:rowOff>0</xdr:rowOff>
              </from>
              <to>
                <xdr:col>21</xdr:col>
                <xdr:colOff>426720</xdr:colOff>
                <xdr:row>1</xdr:row>
                <xdr:rowOff>60960</xdr:rowOff>
              </to>
            </anchor>
          </controlPr>
        </control>
      </mc:Choice>
      <mc:Fallback>
        <control shapeId="2062" r:id="rId30" name="Open_OptionsForm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F4CBD91CC3DE4BA9E10FCB396F3087" ma:contentTypeVersion="5" ma:contentTypeDescription="Create a new document." ma:contentTypeScope="" ma:versionID="d2a773b423674630f8f660dc63e135d7">
  <xsd:schema xmlns:xsd="http://www.w3.org/2001/XMLSchema" xmlns:xs="http://www.w3.org/2001/XMLSchema" xmlns:p="http://schemas.microsoft.com/office/2006/metadata/properties" xmlns:ns3="e71b029c-b65d-402d-8297-a9b3c8070ec5" targetNamespace="http://schemas.microsoft.com/office/2006/metadata/properties" ma:root="true" ma:fieldsID="2bf1151ac093741a37f9b59e0c6ed63e" ns3:_="">
    <xsd:import namespace="e71b029c-b65d-402d-8297-a9b3c8070ec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b029c-b65d-402d-8297-a9b3c8070ec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77CB70-CB34-4CC5-9052-68EC9B054C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1b029c-b65d-402d-8297-a9b3c8070e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E73F95E-EAC5-44ED-B5CF-2A29450987E2}">
  <ds:schemaRefs>
    <ds:schemaRef ds:uri="http://purl.org/dc/dcmitype/"/>
    <ds:schemaRef ds:uri="http://schemas.microsoft.com/office/infopath/2007/PartnerControls"/>
    <ds:schemaRef ds:uri="e71b029c-b65d-402d-8297-a9b3c8070ec5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6AF8AB0-25D4-4959-8883-166F8E49533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Top Bars</vt:lpstr>
      <vt:lpstr>Bottom Extra Bars</vt:lpstr>
      <vt:lpstr>Raft</vt:lpstr>
      <vt:lpstr>ShapeLibrary</vt:lpstr>
      <vt:lpstr>Raft!Print_Area</vt:lpstr>
      <vt:lpstr>'Sheet()'!Print_Area</vt:lpstr>
      <vt:lpstr>Raft!Print_Titles</vt:lpstr>
      <vt:lpstr>'Sheet()'!Print_Titles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syatem</dc:creator>
  <cp:lastModifiedBy>AZAZ SHAIKH</cp:lastModifiedBy>
  <cp:lastPrinted>2018-02-15T13:03:08Z</cp:lastPrinted>
  <dcterms:created xsi:type="dcterms:W3CDTF">2013-08-10T04:36:01Z</dcterms:created>
  <dcterms:modified xsi:type="dcterms:W3CDTF">2026-02-16T12:37:29Z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2024-11-15T13:49:58Z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6c7a51bb-fb3c-4d3f-b7eb-dd674f376679</vt:lpwstr>
  </property>
  <property fmtid="{D5CDD505-2E9C-101B-9397-08002B2CF9AE}" pid="8" name="MSIP_Label_ac52bb50-aef2-4dc8-bb7f-e0da22648362_ContentBits">
    <vt:lpwstr>2</vt:lpwstr>
  </property>
  <property fmtid="{D5CDD505-2E9C-101B-9397-08002B2CF9AE}" pid="9" name="ContentTypeId">
    <vt:lpwstr>0x010100B7F4CBD91CC3DE4BA9E10FCB396F3087</vt:lpwstr>
  </property>
</Properties>
</file>
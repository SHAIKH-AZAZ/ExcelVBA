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932" codeName="{372AB895-14C1-FC20-EB20-F1B4BCFD95AE}"/>
  <workbookPr codeName="BBSFormat" defaultThemeVersion="124226"/>
  <mc:AlternateContent xmlns:mc="http://schemas.openxmlformats.org/markup-compatibility/2006">
    <mc:Choice Requires="x15">
      <x15ac:absPath xmlns:x15ac="http://schemas.microsoft.com/office/spreadsheetml/2010/11/ac" url="C:\Users\Dell\Downloads\Telegram Desktop\excel\"/>
    </mc:Choice>
  </mc:AlternateContent>
  <xr:revisionPtr revIDLastSave="0" documentId="13_ncr:1_{BDFC5C7D-4183-4F62-9B7A-67C14F23179F}" xr6:coauthVersionLast="47" xr6:coauthVersionMax="47" xr10:uidLastSave="{00000000-0000-0000-0000-000000000000}"/>
  <bookViews>
    <workbookView xWindow="-110" yWindow="-110" windowWidth="19420" windowHeight="10300" tabRatio="750" activeTab="1" xr2:uid="{00000000-000D-0000-FFFF-FFFF00000000}"/>
  </bookViews>
  <sheets>
    <sheet name="LINAC 8" sheetId="63" r:id="rId1"/>
    <sheet name="ShapeLibrary" sheetId="68" r:id="rId2"/>
    <sheet name="Sheet1" sheetId="65" r:id="rId3"/>
    <sheet name="Sheet()" sheetId="5" state="veryHidden" r:id="rId4"/>
  </sheets>
  <functionGroups builtInGroupCount="19"/>
  <definedNames>
    <definedName name="_xlnm._FilterDatabase" localSheetId="0" hidden="1">'LINAC 8'!$B$1:$B$6</definedName>
    <definedName name="_xlnm.Print_Area" localSheetId="0">'LINAC 8'!$A$1:$AH$24</definedName>
    <definedName name="_xlnm.Print_Area" localSheetId="3">'Sheet()'!$V$1:$AE$20,'Sheet()'!$A:$T</definedName>
    <definedName name="_xlnm.Print_Titles" localSheetId="0">'LINAC 8'!$6:$6</definedName>
    <definedName name="_xlnm.Print_Titles" localSheetId="3">'Sheet()'!$1:$2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M8" i="63" l="1"/>
  <c r="K8" i="63" s="1"/>
  <c r="I9" i="63"/>
  <c r="J9" i="63" s="1"/>
  <c r="I10" i="63"/>
  <c r="I11" i="63"/>
  <c r="I12" i="63"/>
  <c r="I13" i="63"/>
  <c r="I14" i="63"/>
  <c r="I15" i="63"/>
  <c r="I16" i="63"/>
  <c r="J16" i="63" s="1"/>
  <c r="AF16" i="63" s="1"/>
  <c r="I17" i="63"/>
  <c r="I18" i="63"/>
  <c r="J18" i="63" s="1"/>
  <c r="I19" i="63"/>
  <c r="I20" i="63"/>
  <c r="J20" i="63" s="1"/>
  <c r="I8" i="63"/>
  <c r="J8" i="63" s="1"/>
  <c r="K20" i="63"/>
  <c r="K19" i="63"/>
  <c r="K15" i="63"/>
  <c r="K16" i="63"/>
  <c r="K14" i="63"/>
  <c r="K9" i="63"/>
  <c r="M20" i="63"/>
  <c r="M19" i="63"/>
  <c r="M16" i="63"/>
  <c r="M15" i="63"/>
  <c r="M14" i="63"/>
  <c r="M9" i="63"/>
  <c r="K10" i="63"/>
  <c r="K11" i="63"/>
  <c r="K12" i="63"/>
  <c r="K13" i="63"/>
  <c r="K17" i="63"/>
  <c r="K18" i="63"/>
  <c r="AH20" i="63"/>
  <c r="AG20" i="63"/>
  <c r="AE20" i="63"/>
  <c r="AD20" i="63"/>
  <c r="AC20" i="63"/>
  <c r="AB20" i="63"/>
  <c r="AH19" i="63"/>
  <c r="AG19" i="63"/>
  <c r="AE19" i="63"/>
  <c r="AD19" i="63"/>
  <c r="AC19" i="63"/>
  <c r="AB19" i="63"/>
  <c r="J19" i="63"/>
  <c r="AH18" i="63"/>
  <c r="AG18" i="63"/>
  <c r="AE18" i="63"/>
  <c r="AD18" i="63"/>
  <c r="AC18" i="63"/>
  <c r="AB18" i="63"/>
  <c r="AH13" i="63"/>
  <c r="AF13" i="63"/>
  <c r="AE13" i="63"/>
  <c r="AD13" i="63"/>
  <c r="AC13" i="63"/>
  <c r="AB13" i="63"/>
  <c r="J13" i="63"/>
  <c r="J14" i="63"/>
  <c r="AG14" i="63" s="1"/>
  <c r="AB14" i="63"/>
  <c r="AC14" i="63"/>
  <c r="AD14" i="63"/>
  <c r="AE14" i="63"/>
  <c r="AF14" i="63"/>
  <c r="AH14" i="63"/>
  <c r="AG12" i="63"/>
  <c r="AF12" i="63"/>
  <c r="AE12" i="63"/>
  <c r="AD12" i="63"/>
  <c r="AC12" i="63"/>
  <c r="AB12" i="63"/>
  <c r="J12" i="63"/>
  <c r="AA12" i="63" s="1"/>
  <c r="AH17" i="63"/>
  <c r="AG17" i="63"/>
  <c r="AE17" i="63"/>
  <c r="AD17" i="63"/>
  <c r="AC17" i="63"/>
  <c r="AB17" i="63"/>
  <c r="J17" i="63"/>
  <c r="AH16" i="63"/>
  <c r="AG16" i="63"/>
  <c r="AE16" i="63"/>
  <c r="AD16" i="63"/>
  <c r="AC16" i="63"/>
  <c r="AB16" i="63"/>
  <c r="AH15" i="63"/>
  <c r="AF15" i="63"/>
  <c r="AE15" i="63"/>
  <c r="AD15" i="63"/>
  <c r="AC15" i="63"/>
  <c r="AB15" i="63"/>
  <c r="J15" i="63"/>
  <c r="AG15" i="63" s="1"/>
  <c r="AH11" i="63"/>
  <c r="AF11" i="63"/>
  <c r="AE11" i="63"/>
  <c r="AD11" i="63"/>
  <c r="AC11" i="63"/>
  <c r="AB11" i="63"/>
  <c r="J11" i="63"/>
  <c r="AG11" i="63" s="1"/>
  <c r="AG10" i="63"/>
  <c r="AF10" i="63"/>
  <c r="AE10" i="63"/>
  <c r="AD10" i="63"/>
  <c r="AC10" i="63"/>
  <c r="AB10" i="63"/>
  <c r="J10" i="63"/>
  <c r="AB9" i="63"/>
  <c r="AC9" i="63"/>
  <c r="AD9" i="63"/>
  <c r="AE9" i="63"/>
  <c r="AF9" i="63"/>
  <c r="AH9" i="63"/>
  <c r="AG8" i="63"/>
  <c r="AF8" i="63"/>
  <c r="AE8" i="63"/>
  <c r="AD8" i="63"/>
  <c r="AC8" i="63"/>
  <c r="AC21" i="63" s="1"/>
  <c r="AB8" i="63"/>
  <c r="AD21" i="63" l="1"/>
  <c r="AE21" i="63"/>
  <c r="AF18" i="63"/>
  <c r="AG9" i="63"/>
  <c r="AA13" i="63"/>
  <c r="AH12" i="63"/>
  <c r="AH10" i="63"/>
  <c r="AF20" i="63"/>
  <c r="AH8" i="63"/>
  <c r="AH21" i="63" s="1"/>
  <c r="AB21" i="63"/>
  <c r="AG21" i="63"/>
  <c r="AF19" i="63"/>
  <c r="AA9" i="63"/>
  <c r="AF17" i="63"/>
  <c r="AF21" i="63" s="1"/>
  <c r="AA14" i="63"/>
  <c r="AA17" i="63"/>
  <c r="AG13" i="63"/>
  <c r="AA20" i="63"/>
  <c r="AA19" i="63"/>
  <c r="AA18" i="63"/>
  <c r="AA16" i="63"/>
  <c r="AA15" i="63"/>
  <c r="AA11" i="63"/>
  <c r="AA10" i="63"/>
  <c r="AA8" i="63"/>
  <c r="T33" i="5"/>
  <c r="F33" i="5"/>
  <c r="T32" i="5"/>
  <c r="F32" i="5"/>
  <c r="T31" i="5"/>
  <c r="F31" i="5"/>
  <c r="T30" i="5"/>
  <c r="F30" i="5"/>
  <c r="T29" i="5"/>
  <c r="F29" i="5"/>
  <c r="T28" i="5"/>
  <c r="F28" i="5"/>
  <c r="T27" i="5"/>
  <c r="F27" i="5"/>
  <c r="T26" i="5"/>
  <c r="F26" i="5"/>
  <c r="T25" i="5"/>
  <c r="F25" i="5"/>
  <c r="T24" i="5"/>
  <c r="F24" i="5"/>
  <c r="T23" i="5"/>
  <c r="F23" i="5"/>
  <c r="T22" i="5"/>
  <c r="F22" i="5"/>
  <c r="T21" i="5"/>
  <c r="F21" i="5"/>
  <c r="T20" i="5"/>
  <c r="F20" i="5"/>
  <c r="T19" i="5"/>
  <c r="F19" i="5"/>
  <c r="T18" i="5"/>
  <c r="F18" i="5"/>
  <c r="T17" i="5"/>
  <c r="F17" i="5"/>
  <c r="T16" i="5"/>
  <c r="T15" i="5"/>
  <c r="F15" i="5"/>
  <c r="T14" i="5"/>
  <c r="F14" i="5"/>
  <c r="T13" i="5"/>
  <c r="F13" i="5"/>
  <c r="T12" i="5"/>
  <c r="F12" i="5"/>
  <c r="T11" i="5"/>
  <c r="F11" i="5"/>
  <c r="T10" i="5"/>
  <c r="F10" i="5"/>
  <c r="T9" i="5"/>
  <c r="F9" i="5"/>
  <c r="AC8" i="5"/>
  <c r="AB8" i="5"/>
  <c r="AA8" i="5"/>
  <c r="Z8" i="5"/>
  <c r="Y8" i="5"/>
  <c r="X8" i="5"/>
  <c r="W8" i="5"/>
  <c r="T8" i="5"/>
  <c r="F8" i="5"/>
  <c r="T7" i="5"/>
  <c r="F7" i="5"/>
  <c r="T6" i="5"/>
  <c r="F6" i="5"/>
  <c r="T5" i="5"/>
  <c r="F5" i="5"/>
  <c r="T4" i="5"/>
  <c r="F4" i="5"/>
  <c r="T3" i="5"/>
  <c r="F3" i="5"/>
  <c r="AA21" i="63" l="1"/>
  <c r="AD8" i="5"/>
  <c r="AH7" i="63" l="1"/>
  <c r="AG7" i="63"/>
  <c r="AE7" i="63"/>
  <c r="AD7" i="63"/>
  <c r="AC7" i="63"/>
  <c r="AB7" i="63"/>
  <c r="AA7" i="63"/>
  <c r="AF7" i="63" l="1"/>
  <c r="AE23" i="63" l="1"/>
  <c r="AF23" i="63"/>
  <c r="AH23" i="63"/>
  <c r="AD23" i="63" l="1"/>
  <c r="AB23" i="63" l="1"/>
  <c r="AG23" i="63" l="1"/>
  <c r="AC23" i="63"/>
  <c r="AA24" i="63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F1B3322-1ADA-4B12-A9F7-DA507B457FD4}" keepAlive="1" name="Query - Beam-Pour1" description="Connection to the 'Beam-Pour1' query in the workbook." type="5" refreshedVersion="0" background="1">
    <dbPr connection="Provider=Microsoft.Mashup.OleDb.1;Data Source=$Workbook$;Location=Beam-Pour1;Extended Properties=&quot;&quot;" command="SELECT * FROM [Beam-Pour1]"/>
  </connection>
</connections>
</file>

<file path=xl/sharedStrings.xml><?xml version="1.0" encoding="utf-8"?>
<sst xmlns="http://schemas.openxmlformats.org/spreadsheetml/2006/main" count="122" uniqueCount="84">
  <si>
    <t>BBS Ref:</t>
  </si>
  <si>
    <t>Bar Mark</t>
  </si>
  <si>
    <t>Description of Elements</t>
  </si>
  <si>
    <t>ø of Bars</t>
  </si>
  <si>
    <t>№of Elmts</t>
  </si>
  <si>
    <t>№of Bars</t>
  </si>
  <si>
    <t>Cutting length</t>
  </si>
  <si>
    <t>Code</t>
  </si>
  <si>
    <t>A</t>
  </si>
  <si>
    <t>B</t>
  </si>
  <si>
    <t>C</t>
  </si>
  <si>
    <t>D</t>
  </si>
  <si>
    <t>E</t>
  </si>
  <si>
    <t>F</t>
  </si>
  <si>
    <t>G</t>
  </si>
  <si>
    <t>H</t>
  </si>
  <si>
    <t>Shape</t>
  </si>
  <si>
    <t>Name of Project</t>
  </si>
  <si>
    <t>Name of Structure</t>
  </si>
  <si>
    <t>SUMMARY OF  REINFORCEMENT STEEL</t>
  </si>
  <si>
    <t>Size of bar</t>
  </si>
  <si>
    <t>Total</t>
  </si>
  <si>
    <t>Weight (Kg)</t>
  </si>
  <si>
    <t>Total №</t>
  </si>
  <si>
    <t>I</t>
  </si>
  <si>
    <t>J</t>
  </si>
  <si>
    <t>Manomav Engineers Pvt. Ltd</t>
  </si>
  <si>
    <t>Spacing</t>
  </si>
  <si>
    <t>No. of Laps</t>
  </si>
  <si>
    <t>Net Length (mm)</t>
  </si>
  <si>
    <t>Dia Wise Length (10mm)</t>
  </si>
  <si>
    <t>Dia Wise Length (8mm)</t>
  </si>
  <si>
    <t>Dia Wise Length (12mm)</t>
  </si>
  <si>
    <t>Dia Wise Length (16mm)</t>
  </si>
  <si>
    <t>Dia Wise Length (20mm)</t>
  </si>
  <si>
    <t>Dia Wise Length (25mm)</t>
  </si>
  <si>
    <t>Dia Wise Length (32mm)</t>
  </si>
  <si>
    <t>No. of 90 bend</t>
  </si>
  <si>
    <t>Deduction</t>
  </si>
  <si>
    <t>BAR BENDING SCHEDULE</t>
  </si>
  <si>
    <t xml:space="preserve">BBS No. :    </t>
  </si>
  <si>
    <t>Drawing no:</t>
  </si>
  <si>
    <t xml:space="preserve">Lap length : </t>
  </si>
  <si>
    <t xml:space="preserve">Location :      </t>
  </si>
  <si>
    <t xml:space="preserve">Grade of Concrete: </t>
  </si>
  <si>
    <t>Grade of Concrete:</t>
  </si>
  <si>
    <t xml:space="preserve">Member :     </t>
  </si>
  <si>
    <t>Prepared By:</t>
  </si>
  <si>
    <t>IR no:</t>
  </si>
  <si>
    <t>Checked By:</t>
  </si>
  <si>
    <t xml:space="preserve">Pour Card No: </t>
  </si>
  <si>
    <t>DATE:</t>
  </si>
  <si>
    <t>L&amp;T</t>
  </si>
  <si>
    <t>Grid</t>
  </si>
  <si>
    <t>Distribution</t>
  </si>
  <si>
    <t xml:space="preserve">Weight of Bar as per Dia </t>
  </si>
  <si>
    <t>Unit Wt(Di Wise)</t>
  </si>
  <si>
    <t>Total Length(Dia Wise)</t>
  </si>
  <si>
    <t>M-30</t>
  </si>
  <si>
    <t>CPWD</t>
  </si>
  <si>
    <t>45.3*D</t>
  </si>
  <si>
    <t>Total Wt (MT)</t>
  </si>
  <si>
    <t>S.No.</t>
  </si>
  <si>
    <t>06.12.2025</t>
  </si>
  <si>
    <t>G5-09</t>
  </si>
  <si>
    <t>F5#-01</t>
  </si>
  <si>
    <t>Bottom R/f Main Bar X-Direction</t>
  </si>
  <si>
    <t>G5-10</t>
  </si>
  <si>
    <t>F5#-02</t>
  </si>
  <si>
    <t>G5-11</t>
  </si>
  <si>
    <t>F5#-03</t>
  </si>
  <si>
    <t>Bottom R/f Main Bar Y-Direction</t>
  </si>
  <si>
    <t>F5#-18</t>
  </si>
  <si>
    <t>F5#-19</t>
  </si>
  <si>
    <t>Top R/f Main Bar Y-Direction</t>
  </si>
  <si>
    <t>Top R/f Main Bar X-Direction</t>
  </si>
  <si>
    <t>E1-01</t>
  </si>
  <si>
    <t>E1-02</t>
  </si>
  <si>
    <t>E1-03</t>
  </si>
  <si>
    <t>E1-18</t>
  </si>
  <si>
    <t xml:space="preserve">LINAC 8 RAFT </t>
  </si>
  <si>
    <t xml:space="preserve"> B</t>
  </si>
  <si>
    <t xml:space="preserve">O25060-C-HP-02-RC-0079, O25060-C-HP-02-RC-0004, </t>
  </si>
  <si>
    <t>RAFT AND FOOTING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</si>
</sst>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\T#"/>
    <numFmt numFmtId="166" formatCode="#\ \№;;;"/>
    <numFmt numFmtId="167" formatCode="0.0000"/>
  </numFmts>
  <fonts count="32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Tahoma"/>
      <family val="2"/>
    </font>
    <font>
      <b/>
      <sz val="12"/>
      <name val="Tahoma"/>
      <family val="2"/>
    </font>
    <font>
      <b/>
      <sz val="14"/>
      <name val="Tahoma"/>
      <family val="2"/>
    </font>
    <font>
      <b/>
      <u/>
      <sz val="12"/>
      <name val="Tahoma"/>
      <family val="2"/>
    </font>
    <font>
      <b/>
      <sz val="10"/>
      <name val="Tahoma"/>
      <family val="2"/>
    </font>
    <font>
      <b/>
      <sz val="8"/>
      <name val="Tahom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0"/>
      <name val="Arial"/>
      <family val="2"/>
    </font>
    <font>
      <b/>
      <sz val="10"/>
      <name val="Calibri"/>
      <family val="2"/>
    </font>
    <font>
      <b/>
      <sz val="11"/>
      <name val="Tahoma"/>
      <family val="2"/>
    </font>
    <font>
      <b/>
      <sz val="11"/>
      <color theme="1"/>
      <name val="Calibri"/>
      <family val="2"/>
      <scheme val="minor"/>
    </font>
    <font>
      <b/>
      <sz val="11"/>
      <name val="Arial"/>
      <family val="2"/>
    </font>
    <font>
      <b/>
      <sz val="11"/>
      <name val="Calibri"/>
      <family val="2"/>
    </font>
  </fonts>
  <fills count="3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4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4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5" borderId="0" applyNumberFormat="0" applyBorder="0" applyAlignment="0" applyProtection="0"/>
    <xf numFmtId="0" fontId="9" fillId="8" borderId="0" applyNumberFormat="0" applyBorder="0" applyAlignment="0" applyProtection="0"/>
    <xf numFmtId="0" fontId="9" fillId="11" borderId="0" applyNumberFormat="0" applyBorder="0" applyAlignment="0" applyProtection="0"/>
    <xf numFmtId="0" fontId="10" fillId="12" borderId="0" applyNumberFormat="0" applyBorder="0" applyAlignment="0" applyProtection="0"/>
    <xf numFmtId="0" fontId="10" fillId="9" borderId="0" applyNumberFormat="0" applyBorder="0" applyAlignment="0" applyProtection="0"/>
    <xf numFmtId="0" fontId="10" fillId="10" borderId="0" applyNumberFormat="0" applyBorder="0" applyAlignment="0" applyProtection="0"/>
    <xf numFmtId="0" fontId="10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9" borderId="0" applyNumberFormat="0" applyBorder="0" applyAlignment="0" applyProtection="0"/>
    <xf numFmtId="0" fontId="11" fillId="3" borderId="0" applyNumberFormat="0" applyBorder="0" applyAlignment="0" applyProtection="0"/>
    <xf numFmtId="0" fontId="12" fillId="20" borderId="1" applyNumberFormat="0" applyAlignment="0" applyProtection="0"/>
    <xf numFmtId="0" fontId="13" fillId="21" borderId="2" applyNumberFormat="0" applyAlignment="0" applyProtection="0"/>
    <xf numFmtId="0" fontId="14" fillId="0" borderId="0" applyNumberFormat="0" applyFill="0" applyBorder="0" applyAlignment="0" applyProtection="0"/>
    <xf numFmtId="0" fontId="15" fillId="4" borderId="0" applyNumberFormat="0" applyBorder="0" applyAlignment="0" applyProtection="0"/>
    <xf numFmtId="0" fontId="16" fillId="0" borderId="3" applyNumberFormat="0" applyFill="0" applyAlignment="0" applyProtection="0"/>
    <xf numFmtId="0" fontId="17" fillId="0" borderId="4" applyNumberFormat="0" applyFill="0" applyAlignment="0" applyProtection="0"/>
    <xf numFmtId="0" fontId="18" fillId="0" borderId="5" applyNumberFormat="0" applyFill="0" applyAlignment="0" applyProtection="0"/>
    <xf numFmtId="0" fontId="18" fillId="0" borderId="0" applyNumberFormat="0" applyFill="0" applyBorder="0" applyAlignment="0" applyProtection="0"/>
    <xf numFmtId="0" fontId="19" fillId="7" borderId="1" applyNumberFormat="0" applyAlignment="0" applyProtection="0"/>
    <xf numFmtId="0" fontId="20" fillId="0" borderId="6" applyNumberFormat="0" applyFill="0" applyAlignment="0" applyProtection="0"/>
    <xf numFmtId="0" fontId="21" fillId="22" borderId="0" applyNumberFormat="0" applyBorder="0" applyAlignment="0" applyProtection="0"/>
    <xf numFmtId="0" fontId="3" fillId="0" borderId="0">
      <alignment vertical="center"/>
    </xf>
    <xf numFmtId="0" fontId="2" fillId="23" borderId="7" applyNumberFormat="0" applyFont="0" applyAlignment="0" applyProtection="0"/>
    <xf numFmtId="0" fontId="22" fillId="20" borderId="8" applyNumberFormat="0" applyAlignment="0" applyProtection="0"/>
    <xf numFmtId="0" fontId="23" fillId="0" borderId="0" applyNumberFormat="0" applyFill="0" applyBorder="0" applyAlignment="0" applyProtection="0"/>
    <xf numFmtId="0" fontId="24" fillId="0" borderId="9" applyNumberFormat="0" applyFill="0" applyAlignment="0" applyProtection="0"/>
    <xf numFmtId="0" fontId="25" fillId="0" borderId="0" applyNumberFormat="0" applyFill="0" applyBorder="0" applyAlignment="0" applyProtection="0"/>
    <xf numFmtId="0" fontId="3" fillId="0" borderId="0"/>
  </cellStyleXfs>
  <cellXfs count="106">
    <xf numFmtId="0" fontId="0" fillId="0" borderId="0" xfId="0"/>
    <xf numFmtId="0" fontId="3" fillId="0" borderId="0" xfId="37">
      <alignment vertical="center"/>
    </xf>
    <xf numFmtId="0" fontId="3" fillId="0" borderId="0" xfId="37" applyAlignment="1">
      <alignment horizontal="center" vertical="center"/>
    </xf>
    <xf numFmtId="0" fontId="3" fillId="0" borderId="0" xfId="37" applyAlignment="1">
      <alignment horizontal="center" vertical="center" wrapText="1"/>
    </xf>
    <xf numFmtId="0" fontId="3" fillId="0" borderId="10" xfId="37" applyBorder="1" applyAlignment="1">
      <alignment vertical="center" wrapText="1"/>
    </xf>
    <xf numFmtId="165" fontId="3" fillId="0" borderId="10" xfId="37" applyNumberFormat="1" applyBorder="1" applyAlignment="1">
      <alignment horizontal="center" vertical="center" shrinkToFit="1"/>
    </xf>
    <xf numFmtId="0" fontId="3" fillId="0" borderId="10" xfId="37" applyBorder="1" applyAlignment="1">
      <alignment horizontal="center" vertical="center" shrinkToFit="1"/>
    </xf>
    <xf numFmtId="166" fontId="3" fillId="0" borderId="10" xfId="37" applyNumberFormat="1" applyBorder="1" applyAlignment="1">
      <alignment horizontal="center" vertical="center" shrinkToFit="1"/>
    </xf>
    <xf numFmtId="0" fontId="3" fillId="0" borderId="10" xfId="37" applyBorder="1">
      <alignment vertical="center"/>
    </xf>
    <xf numFmtId="0" fontId="3" fillId="24" borderId="10" xfId="37" applyFill="1" applyBorder="1" applyAlignment="1">
      <alignment horizontal="center" vertical="center" shrinkToFit="1"/>
    </xf>
    <xf numFmtId="0" fontId="3" fillId="0" borderId="10" xfId="37" applyBorder="1" applyAlignment="1" applyProtection="1">
      <alignment horizontal="center" vertical="center" shrinkToFit="1"/>
      <protection hidden="1"/>
    </xf>
    <xf numFmtId="0" fontId="3" fillId="0" borderId="10" xfId="37" applyBorder="1" applyProtection="1">
      <alignment vertical="center"/>
      <protection locked="0"/>
    </xf>
    <xf numFmtId="0" fontId="4" fillId="0" borderId="0" xfId="37" applyFont="1" applyAlignment="1">
      <alignment horizontal="centerContinuous"/>
    </xf>
    <xf numFmtId="0" fontId="5" fillId="0" borderId="0" xfId="37" applyFont="1" applyAlignment="1">
      <alignment horizontal="centerContinuous" vertical="center"/>
    </xf>
    <xf numFmtId="0" fontId="4" fillId="0" borderId="0" xfId="37" applyFont="1" applyAlignment="1">
      <alignment horizontal="left" vertical="center"/>
    </xf>
    <xf numFmtId="0" fontId="6" fillId="0" borderId="11" xfId="37" applyFont="1" applyBorder="1" applyAlignment="1">
      <alignment horizontal="centerContinuous" vertical="center"/>
    </xf>
    <xf numFmtId="0" fontId="3" fillId="0" borderId="12" xfId="37" applyBorder="1" applyAlignment="1">
      <alignment horizontal="centerContinuous" vertical="center"/>
    </xf>
    <xf numFmtId="0" fontId="3" fillId="0" borderId="13" xfId="37" applyBorder="1" applyAlignment="1">
      <alignment horizontal="centerContinuous" vertical="center" wrapText="1"/>
    </xf>
    <xf numFmtId="0" fontId="7" fillId="0" borderId="14" xfId="37" applyFont="1" applyBorder="1">
      <alignment vertical="center"/>
    </xf>
    <xf numFmtId="165" fontId="8" fillId="0" borderId="15" xfId="37" applyNumberFormat="1" applyFont="1" applyBorder="1" applyAlignment="1">
      <alignment horizontal="center" vertical="center"/>
    </xf>
    <xf numFmtId="0" fontId="8" fillId="0" borderId="16" xfId="37" applyFont="1" applyBorder="1" applyAlignment="1">
      <alignment horizontal="center" vertical="center" shrinkToFit="1"/>
    </xf>
    <xf numFmtId="0" fontId="7" fillId="0" borderId="17" xfId="37" applyFont="1" applyBorder="1">
      <alignment vertical="center"/>
    </xf>
    <xf numFmtId="1" fontId="7" fillId="0" borderId="18" xfId="37" applyNumberFormat="1" applyFont="1" applyBorder="1" applyAlignment="1">
      <alignment horizontal="center" vertical="center"/>
    </xf>
    <xf numFmtId="1" fontId="7" fillId="0" borderId="19" xfId="37" applyNumberFormat="1" applyFont="1" applyBorder="1" applyAlignment="1">
      <alignment horizontal="center" vertical="center"/>
    </xf>
    <xf numFmtId="0" fontId="3" fillId="0" borderId="10" xfId="37" applyBorder="1" applyAlignment="1">
      <alignment horizontal="center" vertical="center" wrapText="1"/>
    </xf>
    <xf numFmtId="0" fontId="3" fillId="24" borderId="10" xfId="37" applyFill="1" applyBorder="1" applyAlignment="1">
      <alignment horizontal="center" vertical="center" wrapText="1"/>
    </xf>
    <xf numFmtId="164" fontId="3" fillId="0" borderId="10" xfId="37" applyNumberFormat="1" applyBorder="1" applyAlignment="1">
      <alignment horizontal="right" vertical="center" shrinkToFit="1"/>
    </xf>
    <xf numFmtId="0" fontId="3" fillId="0" borderId="0" xfId="37" applyAlignment="1">
      <alignment vertical="center" wrapText="1"/>
    </xf>
    <xf numFmtId="0" fontId="3" fillId="0" borderId="0" xfId="37" applyAlignment="1">
      <alignment horizontal="center" wrapText="1"/>
    </xf>
    <xf numFmtId="1" fontId="3" fillId="26" borderId="15" xfId="37" applyNumberFormat="1" applyFill="1" applyBorder="1" applyAlignment="1">
      <alignment horizontal="center" vertical="center" wrapText="1"/>
    </xf>
    <xf numFmtId="0" fontId="28" fillId="26" borderId="15" xfId="37" applyFont="1" applyFill="1" applyBorder="1" applyAlignment="1">
      <alignment horizontal="center" vertical="center" wrapText="1"/>
    </xf>
    <xf numFmtId="1" fontId="3" fillId="26" borderId="15" xfId="37" applyNumberFormat="1" applyFill="1" applyBorder="1" applyAlignment="1">
      <alignment horizontal="center" vertical="center" wrapText="1" shrinkToFit="1"/>
    </xf>
    <xf numFmtId="1" fontId="3" fillId="26" borderId="15" xfId="37" applyNumberFormat="1" applyFill="1" applyBorder="1" applyAlignment="1">
      <alignment horizontal="center" vertical="center" shrinkToFit="1"/>
    </xf>
    <xf numFmtId="0" fontId="3" fillId="26" borderId="0" xfId="37" applyFill="1" applyAlignment="1">
      <alignment horizontal="center" vertical="center" wrapText="1"/>
    </xf>
    <xf numFmtId="0" fontId="3" fillId="26" borderId="0" xfId="37" applyFill="1" applyAlignment="1">
      <alignment vertical="center" wrapText="1"/>
    </xf>
    <xf numFmtId="0" fontId="7" fillId="26" borderId="0" xfId="37" applyFont="1" applyFill="1" applyAlignment="1">
      <alignment horizontal="center" vertical="top" wrapText="1"/>
    </xf>
    <xf numFmtId="0" fontId="7" fillId="26" borderId="15" xfId="37" applyFont="1" applyFill="1" applyBorder="1" applyAlignment="1">
      <alignment horizontal="center" vertical="center" wrapText="1"/>
    </xf>
    <xf numFmtId="1" fontId="7" fillId="26" borderId="15" xfId="37" applyNumberFormat="1" applyFont="1" applyFill="1" applyBorder="1" applyAlignment="1">
      <alignment horizontal="center" vertical="center" wrapText="1" shrinkToFit="1"/>
    </xf>
    <xf numFmtId="0" fontId="7" fillId="26" borderId="0" xfId="37" applyFont="1" applyFill="1" applyAlignment="1">
      <alignment horizontal="center" vertical="center" wrapText="1"/>
    </xf>
    <xf numFmtId="0" fontId="0" fillId="0" borderId="10" xfId="0" applyBorder="1"/>
    <xf numFmtId="0" fontId="7" fillId="27" borderId="15" xfId="37" applyFont="1" applyFill="1" applyBorder="1" applyAlignment="1">
      <alignment horizontal="center" vertical="center" wrapText="1"/>
    </xf>
    <xf numFmtId="0" fontId="3" fillId="27" borderId="15" xfId="37" applyFill="1" applyBorder="1" applyAlignment="1">
      <alignment horizontal="center" vertical="center" wrapText="1"/>
    </xf>
    <xf numFmtId="0" fontId="3" fillId="27" borderId="0" xfId="37" applyFill="1" applyAlignment="1">
      <alignment horizontal="center" vertical="center" wrapText="1"/>
    </xf>
    <xf numFmtId="0" fontId="3" fillId="26" borderId="15" xfId="37" applyFill="1" applyBorder="1" applyAlignment="1">
      <alignment horizontal="center" vertical="center" wrapText="1"/>
    </xf>
    <xf numFmtId="0" fontId="3" fillId="0" borderId="15" xfId="37" applyBorder="1" applyAlignment="1">
      <alignment horizontal="center" vertical="center" wrapText="1"/>
    </xf>
    <xf numFmtId="0" fontId="3" fillId="0" borderId="15" xfId="37" applyBorder="1" applyAlignment="1">
      <alignment vertical="center" wrapText="1"/>
    </xf>
    <xf numFmtId="0" fontId="3" fillId="0" borderId="15" xfId="37" applyBorder="1" applyAlignment="1">
      <alignment horizontal="center" wrapText="1"/>
    </xf>
    <xf numFmtId="0" fontId="0" fillId="0" borderId="15" xfId="0" applyBorder="1"/>
    <xf numFmtId="0" fontId="26" fillId="25" borderId="23" xfId="0" applyFont="1" applyFill="1" applyBorder="1" applyAlignment="1">
      <alignment horizontal="center" vertical="center" wrapText="1"/>
    </xf>
    <xf numFmtId="14" fontId="26" fillId="25" borderId="23" xfId="0" applyNumberFormat="1" applyFont="1" applyFill="1" applyBorder="1" applyAlignment="1">
      <alignment horizontal="center" vertical="center" wrapText="1"/>
    </xf>
    <xf numFmtId="0" fontId="26" fillId="25" borderId="23" xfId="0" applyFont="1" applyFill="1" applyBorder="1" applyAlignment="1">
      <alignment horizontal="center" wrapText="1"/>
    </xf>
    <xf numFmtId="0" fontId="7" fillId="26" borderId="22" xfId="37" applyFont="1" applyFill="1" applyBorder="1" applyAlignment="1">
      <alignment horizontal="center" vertical="center" wrapText="1"/>
    </xf>
    <xf numFmtId="1" fontId="7" fillId="26" borderId="23" xfId="37" applyNumberFormat="1" applyFont="1" applyFill="1" applyBorder="1" applyAlignment="1">
      <alignment horizontal="center" vertical="center" wrapText="1" shrinkToFit="1"/>
    </xf>
    <xf numFmtId="0" fontId="3" fillId="26" borderId="22" xfId="37" applyFill="1" applyBorder="1" applyAlignment="1">
      <alignment horizontal="center" vertical="center" wrapText="1"/>
    </xf>
    <xf numFmtId="1" fontId="3" fillId="26" borderId="23" xfId="37" applyNumberFormat="1" applyFill="1" applyBorder="1" applyAlignment="1">
      <alignment horizontal="center" vertical="center" shrinkToFit="1"/>
    </xf>
    <xf numFmtId="0" fontId="3" fillId="0" borderId="25" xfId="37" applyBorder="1" applyAlignment="1">
      <alignment vertical="center" wrapText="1"/>
    </xf>
    <xf numFmtId="0" fontId="3" fillId="0" borderId="25" xfId="37" applyBorder="1" applyAlignment="1">
      <alignment horizontal="center" wrapText="1"/>
    </xf>
    <xf numFmtId="0" fontId="3" fillId="0" borderId="25" xfId="37" applyBorder="1" applyAlignment="1">
      <alignment horizontal="center" vertical="center" wrapText="1"/>
    </xf>
    <xf numFmtId="0" fontId="3" fillId="27" borderId="25" xfId="37" applyFill="1" applyBorder="1" applyAlignment="1">
      <alignment horizontal="center" vertical="center" wrapText="1"/>
    </xf>
    <xf numFmtId="0" fontId="28" fillId="26" borderId="25" xfId="37" applyFont="1" applyFill="1" applyBorder="1" applyAlignment="1">
      <alignment horizontal="center" vertical="center" wrapText="1"/>
    </xf>
    <xf numFmtId="0" fontId="3" fillId="0" borderId="15" xfId="37" applyBorder="1" applyAlignment="1">
      <alignment horizontal="left" vertical="center"/>
    </xf>
    <xf numFmtId="1" fontId="3" fillId="28" borderId="15" xfId="37" applyNumberFormat="1" applyFill="1" applyBorder="1" applyAlignment="1">
      <alignment horizontal="center" vertical="center"/>
    </xf>
    <xf numFmtId="1" fontId="3" fillId="0" borderId="15" xfId="37" applyNumberFormat="1" applyBorder="1" applyAlignment="1">
      <alignment horizontal="center" vertical="center"/>
    </xf>
    <xf numFmtId="1" fontId="3" fillId="29" borderId="15" xfId="37" applyNumberFormat="1" applyFill="1" applyBorder="1" applyAlignment="1">
      <alignment horizontal="center" vertical="center" wrapText="1" shrinkToFit="1"/>
    </xf>
    <xf numFmtId="1" fontId="3" fillId="29" borderId="15" xfId="37" applyNumberFormat="1" applyFill="1" applyBorder="1" applyAlignment="1">
      <alignment horizontal="center" vertical="center" shrinkToFit="1"/>
    </xf>
    <xf numFmtId="1" fontId="3" fillId="29" borderId="23" xfId="37" applyNumberFormat="1" applyFill="1" applyBorder="1" applyAlignment="1">
      <alignment horizontal="center" vertical="center" shrinkToFit="1"/>
    </xf>
    <xf numFmtId="0" fontId="3" fillId="0" borderId="22" xfId="37" applyBorder="1" applyAlignment="1">
      <alignment horizontal="center" vertical="center" wrapText="1"/>
    </xf>
    <xf numFmtId="0" fontId="3" fillId="0" borderId="24" xfId="37" applyBorder="1" applyAlignment="1">
      <alignment horizontal="center" vertical="center" wrapText="1"/>
    </xf>
    <xf numFmtId="167" fontId="28" fillId="26" borderId="15" xfId="37" applyNumberFormat="1" applyFont="1" applyFill="1" applyBorder="1" applyAlignment="1">
      <alignment horizontal="center" vertical="center" wrapText="1"/>
    </xf>
    <xf numFmtId="167" fontId="28" fillId="26" borderId="23" xfId="37" applyNumberFormat="1" applyFont="1" applyFill="1" applyBorder="1" applyAlignment="1">
      <alignment horizontal="center" vertical="center" wrapText="1"/>
    </xf>
    <xf numFmtId="0" fontId="28" fillId="26" borderId="27" xfId="37" applyFont="1" applyFill="1" applyBorder="1" applyAlignment="1">
      <alignment horizontal="center" vertical="center" wrapText="1"/>
    </xf>
    <xf numFmtId="0" fontId="28" fillId="26" borderId="28" xfId="37" applyFont="1" applyFill="1" applyBorder="1" applyAlignment="1">
      <alignment horizontal="center" vertical="center" wrapText="1"/>
    </xf>
    <xf numFmtId="1" fontId="28" fillId="26" borderId="28" xfId="37" applyNumberFormat="1" applyFont="1" applyFill="1" applyBorder="1" applyAlignment="1">
      <alignment horizontal="center" vertical="center" wrapText="1"/>
    </xf>
    <xf numFmtId="1" fontId="28" fillId="26" borderId="29" xfId="37" applyNumberFormat="1" applyFont="1" applyFill="1" applyBorder="1" applyAlignment="1">
      <alignment horizontal="center" vertical="center" wrapText="1"/>
    </xf>
    <xf numFmtId="0" fontId="3" fillId="0" borderId="26" xfId="37" applyBorder="1" applyAlignment="1">
      <alignment vertical="center" wrapText="1"/>
    </xf>
    <xf numFmtId="0" fontId="3" fillId="0" borderId="27" xfId="37" applyBorder="1" applyAlignment="1">
      <alignment vertical="center" wrapText="1"/>
    </xf>
    <xf numFmtId="0" fontId="0" fillId="0" borderId="33" xfId="0" applyBorder="1"/>
    <xf numFmtId="1" fontId="3" fillId="29" borderId="28" xfId="37" applyNumberFormat="1" applyFill="1" applyBorder="1" applyAlignment="1">
      <alignment horizontal="center" vertical="center" wrapText="1" shrinkToFit="1"/>
    </xf>
    <xf numFmtId="1" fontId="3" fillId="29" borderId="28" xfId="37" applyNumberFormat="1" applyFill="1" applyBorder="1" applyAlignment="1">
      <alignment horizontal="center" vertical="center" shrinkToFit="1"/>
    </xf>
    <xf numFmtId="1" fontId="3" fillId="29" borderId="29" xfId="37" applyNumberFormat="1" applyFill="1" applyBorder="1" applyAlignment="1">
      <alignment horizontal="center" vertical="center" shrinkToFit="1"/>
    </xf>
    <xf numFmtId="0" fontId="3" fillId="0" borderId="20" xfId="37" applyBorder="1" applyAlignment="1">
      <alignment vertical="center" wrapText="1"/>
    </xf>
    <xf numFmtId="1" fontId="7" fillId="0" borderId="20" xfId="37" applyNumberFormat="1" applyFont="1" applyBorder="1" applyAlignment="1">
      <alignment horizontal="center" vertical="center" wrapText="1"/>
    </xf>
    <xf numFmtId="1" fontId="7" fillId="0" borderId="21" xfId="37" applyNumberFormat="1" applyFont="1" applyBorder="1" applyAlignment="1">
      <alignment horizontal="center" vertical="center" wrapText="1"/>
    </xf>
    <xf numFmtId="0" fontId="3" fillId="0" borderId="34" xfId="37" applyBorder="1" applyAlignment="1">
      <alignment vertical="center" wrapText="1"/>
    </xf>
    <xf numFmtId="0" fontId="28" fillId="26" borderId="35" xfId="37" applyFont="1" applyFill="1" applyBorder="1" applyAlignment="1">
      <alignment horizontal="center" vertical="center" wrapText="1"/>
    </xf>
    <xf numFmtId="0" fontId="28" fillId="30" borderId="36" xfId="37" applyFont="1" applyFill="1" applyBorder="1" applyAlignment="1">
      <alignment horizontal="left" vertical="center" wrapText="1"/>
    </xf>
    <xf numFmtId="0" fontId="28" fillId="30" borderId="37" xfId="37" applyFont="1" applyFill="1" applyBorder="1" applyAlignment="1">
      <alignment horizontal="left" vertical="center" wrapText="1"/>
    </xf>
    <xf numFmtId="0" fontId="28" fillId="30" borderId="38" xfId="37" applyFont="1" applyFill="1" applyBorder="1" applyAlignment="1">
      <alignment horizontal="left" vertical="center" wrapText="1"/>
    </xf>
    <xf numFmtId="0" fontId="28" fillId="30" borderId="39" xfId="37" applyFont="1" applyFill="1" applyBorder="1" applyAlignment="1">
      <alignment horizontal="left" vertical="center" wrapText="1"/>
    </xf>
    <xf numFmtId="0" fontId="1" fillId="25" borderId="15" xfId="0" applyFont="1" applyFill="1" applyBorder="1" applyAlignment="1">
      <alignment vertical="center" wrapText="1"/>
    </xf>
    <xf numFmtId="0" fontId="1" fillId="27" borderId="15" xfId="0" applyFont="1" applyFill="1" applyBorder="1" applyAlignment="1">
      <alignment vertical="center" wrapText="1"/>
    </xf>
    <xf numFmtId="0" fontId="0" fillId="28" borderId="0" xfId="0" applyFill="1"/>
    <xf numFmtId="0" fontId="3" fillId="29" borderId="15" xfId="37" applyFill="1" applyBorder="1" applyAlignment="1">
      <alignment horizontal="center" vertical="center" wrapText="1"/>
    </xf>
    <xf numFmtId="164" fontId="28" fillId="26" borderId="30" xfId="37" applyNumberFormat="1" applyFont="1" applyFill="1" applyBorder="1" applyAlignment="1">
      <alignment horizontal="center" vertical="center" wrapText="1"/>
    </xf>
    <xf numFmtId="164" fontId="28" fillId="26" borderId="31" xfId="37" applyNumberFormat="1" applyFont="1" applyFill="1" applyBorder="1" applyAlignment="1">
      <alignment horizontal="center" vertical="center" wrapText="1"/>
    </xf>
    <xf numFmtId="164" fontId="28" fillId="26" borderId="32" xfId="37" applyNumberFormat="1" applyFont="1" applyFill="1" applyBorder="1" applyAlignment="1">
      <alignment horizontal="center" vertical="center" wrapText="1"/>
    </xf>
    <xf numFmtId="0" fontId="29" fillId="25" borderId="22" xfId="0" applyFont="1" applyFill="1" applyBorder="1" applyAlignment="1">
      <alignment horizontal="left" vertical="center" wrapText="1"/>
    </xf>
    <xf numFmtId="0" fontId="29" fillId="25" borderId="15" xfId="0" applyFont="1" applyFill="1" applyBorder="1" applyAlignment="1">
      <alignment horizontal="left" vertical="center" wrapText="1"/>
    </xf>
    <xf numFmtId="0" fontId="30" fillId="25" borderId="15" xfId="0" applyFont="1" applyFill="1" applyBorder="1" applyAlignment="1">
      <alignment horizontal="left" vertical="center" wrapText="1"/>
    </xf>
    <xf numFmtId="0" fontId="31" fillId="25" borderId="15" xfId="0" applyFont="1" applyFill="1" applyBorder="1" applyAlignment="1">
      <alignment horizontal="left" vertical="center" wrapText="1"/>
    </xf>
    <xf numFmtId="0" fontId="26" fillId="25" borderId="15" xfId="0" applyFont="1" applyFill="1" applyBorder="1" applyAlignment="1">
      <alignment horizontal="left" vertical="center" wrapText="1"/>
    </xf>
    <xf numFmtId="0" fontId="27" fillId="25" borderId="15" xfId="0" applyFont="1" applyFill="1" applyBorder="1" applyAlignment="1">
      <alignment horizontal="left" vertical="center" wrapText="1"/>
    </xf>
    <xf numFmtId="0" fontId="27" fillId="25" borderId="15" xfId="0" applyFont="1" applyFill="1" applyBorder="1" applyAlignment="1">
      <alignment horizontal="left" wrapText="1"/>
    </xf>
    <xf numFmtId="0" fontId="30" fillId="28" borderId="40" xfId="0" applyFont="1" applyFill="1" applyBorder="1" applyAlignment="1">
      <alignment horizontal="center" vertical="center" wrapText="1"/>
    </xf>
    <xf numFmtId="0" fontId="30" fillId="28" borderId="41" xfId="0" applyFont="1" applyFill="1" applyBorder="1" applyAlignment="1">
      <alignment horizontal="center" vertical="center" wrapText="1"/>
    </xf>
    <xf numFmtId="0" fontId="30" fillId="28" borderId="42" xfId="0" applyFont="1" applyFill="1" applyBorder="1" applyAlignment="1">
      <alignment horizontal="center" vertical="center" wrapText="1"/>
    </xf>
  </cellXfs>
  <cellStyles count="44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43" xr:uid="{00000000-0005-0000-0000-000025000000}"/>
    <cellStyle name="Normal_BBS Format" xfId="37" xr:uid="{00000000-0005-0000-0000-000026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0"/>
  <tableStyles count="0" defaultTableStyle="TableStyleMedium2" defaultPivotStyle="PivotStyleLight16"/>
  <colors>
    <mruColors>
      <color rgb="FFCCF8F7"/>
      <color rgb="FF8EF0EE"/>
      <color rgb="FFE1FBF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openxmlformats.org/officeDocument/2006/relationships/image" Target="../media/image11.png"/><Relationship Id="rId1" Type="http://schemas.openxmlformats.org/officeDocument/2006/relationships/image" Target="../media/image10.emf"/><Relationship Id="rId4" Type="http://schemas.openxmlformats.org/officeDocument/2006/relationships/image" Target="../media/image1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openxmlformats.org/officeDocument/2006/relationships/image" Target="../media/image13.png"/><Relationship Id="rId1" Type="http://schemas.openxmlformats.org/officeDocument/2006/relationships/image" Target="../media/image1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jp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Relationship Id="rId9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jpeg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24.emf"/><Relationship Id="rId13" Type="http://schemas.openxmlformats.org/officeDocument/2006/relationships/image" Target="../media/image29.emf"/><Relationship Id="rId3" Type="http://schemas.openxmlformats.org/officeDocument/2006/relationships/image" Target="../media/image19.emf"/><Relationship Id="rId7" Type="http://schemas.openxmlformats.org/officeDocument/2006/relationships/image" Target="../media/image23.emf"/><Relationship Id="rId12" Type="http://schemas.openxmlformats.org/officeDocument/2006/relationships/image" Target="../media/image28.emf"/><Relationship Id="rId2" Type="http://schemas.openxmlformats.org/officeDocument/2006/relationships/image" Target="../media/image18.emf"/><Relationship Id="rId1" Type="http://schemas.openxmlformats.org/officeDocument/2006/relationships/image" Target="../media/image17.emf"/><Relationship Id="rId6" Type="http://schemas.openxmlformats.org/officeDocument/2006/relationships/image" Target="../media/image22.emf"/><Relationship Id="rId11" Type="http://schemas.openxmlformats.org/officeDocument/2006/relationships/image" Target="../media/image27.emf"/><Relationship Id="rId5" Type="http://schemas.openxmlformats.org/officeDocument/2006/relationships/image" Target="../media/image21.emf"/><Relationship Id="rId10" Type="http://schemas.openxmlformats.org/officeDocument/2006/relationships/image" Target="../media/image26.emf"/><Relationship Id="rId4" Type="http://schemas.openxmlformats.org/officeDocument/2006/relationships/image" Target="../media/image20.emf"/><Relationship Id="rId9" Type="http://schemas.openxmlformats.org/officeDocument/2006/relationships/image" Target="../media/image25.emf"/><Relationship Id="rId14" Type="http://schemas.openxmlformats.org/officeDocument/2006/relationships/image" Target="../media/image3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342900</xdr:colOff>
          <xdr:row>1</xdr:row>
          <xdr:rowOff>0</xdr:rowOff>
        </xdr:from>
        <xdr:to>
          <xdr:col>1</xdr:col>
          <xdr:colOff>349250</xdr:colOff>
          <xdr:row>1</xdr:row>
          <xdr:rowOff>19050</xdr:rowOff>
        </xdr:to>
        <xdr:sp macro="" textlink="">
          <xdr:nvSpPr>
            <xdr:cNvPr id="527362" name="PrintOptionLabel" hidden="1">
              <a:extLst>
                <a:ext uri="{63B3BB69-23CF-44E3-9099-C40C66FF867C}">
                  <a14:compatExt spid="_x0000_s527362"/>
                </a:ext>
                <a:ext uri="{FF2B5EF4-FFF2-40B4-BE49-F238E27FC236}">
                  <a16:creationId xmlns:a16="http://schemas.microsoft.com/office/drawing/2014/main" id="{00000000-0008-0000-0000-0000020C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1</xdr:row>
          <xdr:rowOff>0</xdr:rowOff>
        </xdr:from>
        <xdr:to>
          <xdr:col>5</xdr:col>
          <xdr:colOff>158750</xdr:colOff>
          <xdr:row>1</xdr:row>
          <xdr:rowOff>19050</xdr:rowOff>
        </xdr:to>
        <xdr:sp macro="" textlink="">
          <xdr:nvSpPr>
            <xdr:cNvPr id="527363" name="BBSProgram" hidden="1">
              <a:extLst>
                <a:ext uri="{63B3BB69-23CF-44E3-9099-C40C66FF867C}">
                  <a14:compatExt spid="_x0000_s527363"/>
                </a:ext>
                <a:ext uri="{FF2B5EF4-FFF2-40B4-BE49-F238E27FC236}">
                  <a16:creationId xmlns:a16="http://schemas.microsoft.com/office/drawing/2014/main" id="{00000000-0008-0000-0000-0000030C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304800</xdr:colOff>
          <xdr:row>1</xdr:row>
          <xdr:rowOff>0</xdr:rowOff>
        </xdr:from>
        <xdr:to>
          <xdr:col>5</xdr:col>
          <xdr:colOff>311150</xdr:colOff>
          <xdr:row>1</xdr:row>
          <xdr:rowOff>19050</xdr:rowOff>
        </xdr:to>
        <xdr:sp macro="" textlink="">
          <xdr:nvSpPr>
            <xdr:cNvPr id="527364" name="ProgramFileFullName" hidden="1">
              <a:extLst>
                <a:ext uri="{63B3BB69-23CF-44E3-9099-C40C66FF867C}">
                  <a14:compatExt spid="_x0000_s527364"/>
                </a:ext>
                <a:ext uri="{FF2B5EF4-FFF2-40B4-BE49-F238E27FC236}">
                  <a16:creationId xmlns:a16="http://schemas.microsoft.com/office/drawing/2014/main" id="{00000000-0008-0000-0000-0000040C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457200</xdr:colOff>
          <xdr:row>1</xdr:row>
          <xdr:rowOff>0</xdr:rowOff>
        </xdr:from>
        <xdr:to>
          <xdr:col>5</xdr:col>
          <xdr:colOff>463550</xdr:colOff>
          <xdr:row>1</xdr:row>
          <xdr:rowOff>19050</xdr:rowOff>
        </xdr:to>
        <xdr:sp macro="" textlink="">
          <xdr:nvSpPr>
            <xdr:cNvPr id="527365" name="AutomaticallyOpenProgramFile" hidden="1">
              <a:extLst>
                <a:ext uri="{63B3BB69-23CF-44E3-9099-C40C66FF867C}">
                  <a14:compatExt spid="_x0000_s527365"/>
                </a:ext>
                <a:ext uri="{FF2B5EF4-FFF2-40B4-BE49-F238E27FC236}">
                  <a16:creationId xmlns:a16="http://schemas.microsoft.com/office/drawing/2014/main" id="{00000000-0008-0000-0000-0000050C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63500</xdr:colOff>
          <xdr:row>1</xdr:row>
          <xdr:rowOff>0</xdr:rowOff>
        </xdr:from>
        <xdr:to>
          <xdr:col>1</xdr:col>
          <xdr:colOff>101600</xdr:colOff>
          <xdr:row>1</xdr:row>
          <xdr:rowOff>19050</xdr:rowOff>
        </xdr:to>
        <xdr:sp macro="" textlink="">
          <xdr:nvSpPr>
            <xdr:cNvPr id="527366" name="CodeColumn" hidden="1">
              <a:extLst>
                <a:ext uri="{63B3BB69-23CF-44E3-9099-C40C66FF867C}">
                  <a14:compatExt spid="_x0000_s527366"/>
                </a:ext>
                <a:ext uri="{FF2B5EF4-FFF2-40B4-BE49-F238E27FC236}">
                  <a16:creationId xmlns:a16="http://schemas.microsoft.com/office/drawing/2014/main" id="{00000000-0008-0000-0000-0000060C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1</xdr:col>
          <xdr:colOff>6350</xdr:colOff>
          <xdr:row>1</xdr:row>
          <xdr:rowOff>19050</xdr:rowOff>
        </xdr:to>
        <xdr:sp macro="" textlink="">
          <xdr:nvSpPr>
            <xdr:cNvPr id="527367" name="LastRowOfSummary" hidden="1">
              <a:extLst>
                <a:ext uri="{63B3BB69-23CF-44E3-9099-C40C66FF867C}">
                  <a14:compatExt spid="_x0000_s527367"/>
                </a:ext>
                <a:ext uri="{FF2B5EF4-FFF2-40B4-BE49-F238E27FC236}">
                  <a16:creationId xmlns:a16="http://schemas.microsoft.com/office/drawing/2014/main" id="{00000000-0008-0000-0000-0000070C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609600</xdr:colOff>
          <xdr:row>8</xdr:row>
          <xdr:rowOff>0</xdr:rowOff>
        </xdr:from>
        <xdr:to>
          <xdr:col>5</xdr:col>
          <xdr:colOff>622300</xdr:colOff>
          <xdr:row>8</xdr:row>
          <xdr:rowOff>12700</xdr:rowOff>
        </xdr:to>
        <xdr:sp macro="" textlink="">
          <xdr:nvSpPr>
            <xdr:cNvPr id="527369" name="Capitalization" hidden="1">
              <a:extLst>
                <a:ext uri="{63B3BB69-23CF-44E3-9099-C40C66FF867C}">
                  <a14:compatExt spid="_x0000_s527369"/>
                </a:ext>
                <a:ext uri="{FF2B5EF4-FFF2-40B4-BE49-F238E27FC236}">
                  <a16:creationId xmlns:a16="http://schemas.microsoft.com/office/drawing/2014/main" id="{00000000-0008-0000-0000-0000090C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</xdr:row>
          <xdr:rowOff>0</xdr:rowOff>
        </xdr:from>
        <xdr:to>
          <xdr:col>1</xdr:col>
          <xdr:colOff>158750</xdr:colOff>
          <xdr:row>1</xdr:row>
          <xdr:rowOff>19050</xdr:rowOff>
        </xdr:to>
        <xdr:sp macro="" textlink="">
          <xdr:nvSpPr>
            <xdr:cNvPr id="527370" name="Registered" hidden="1">
              <a:extLst>
                <a:ext uri="{63B3BB69-23CF-44E3-9099-C40C66FF867C}">
                  <a14:compatExt spid="_x0000_s527370"/>
                </a:ext>
                <a:ext uri="{FF2B5EF4-FFF2-40B4-BE49-F238E27FC236}">
                  <a16:creationId xmlns:a16="http://schemas.microsoft.com/office/drawing/2014/main" id="{00000000-0008-0000-0000-00000A0C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5</xdr:col>
      <xdr:colOff>609600</xdr:colOff>
      <xdr:row>10</xdr:row>
      <xdr:rowOff>0</xdr:rowOff>
    </xdr:from>
    <xdr:ext cx="15240" cy="15240"/>
    <xdr:sp macro="" textlink="">
      <xdr:nvSpPr>
        <xdr:cNvPr id="2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314433EA-50FE-4C57-BC94-E02AA528C379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14</xdr:row>
      <xdr:rowOff>0</xdr:rowOff>
    </xdr:from>
    <xdr:ext cx="15240" cy="15240"/>
    <xdr:sp macro="" textlink="">
      <xdr:nvSpPr>
        <xdr:cNvPr id="3" name="Capitalization" hidden="1">
          <a:extLst>
            <a:ext uri="{63B3BB69-23CF-44E3-9099-C40C66FF867C}">
              <a14:compatExt xmlns:a14="http://schemas.microsoft.com/office/drawing/2010/main" spid="_x0000_s527373"/>
            </a:ext>
            <a:ext uri="{FF2B5EF4-FFF2-40B4-BE49-F238E27FC236}">
              <a16:creationId xmlns:a16="http://schemas.microsoft.com/office/drawing/2014/main" id="{F6B7018B-BC19-42A6-9F2F-E9454B46B55C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16</xdr:row>
      <xdr:rowOff>0</xdr:rowOff>
    </xdr:from>
    <xdr:ext cx="15240" cy="15240"/>
    <xdr:sp macro="" textlink="">
      <xdr:nvSpPr>
        <xdr:cNvPr id="4" name="Capitalization" hidden="1">
          <a:extLst>
            <a:ext uri="{63B3BB69-23CF-44E3-9099-C40C66FF867C}">
              <a14:compatExt xmlns:a14="http://schemas.microsoft.com/office/drawing/2010/main" spid="_x0000_s527374"/>
            </a:ext>
            <a:ext uri="{FF2B5EF4-FFF2-40B4-BE49-F238E27FC236}">
              <a16:creationId xmlns:a16="http://schemas.microsoft.com/office/drawing/2014/main" id="{FE1E953E-4A4C-4F68-A22A-75322CD67E21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12</xdr:row>
      <xdr:rowOff>0</xdr:rowOff>
    </xdr:from>
    <xdr:ext cx="15240" cy="15240"/>
    <xdr:sp macro="" textlink="">
      <xdr:nvSpPr>
        <xdr:cNvPr id="5" name="Picture 15" hidden="1">
          <a:extLst>
            <a:ext uri="{63B3BB69-23CF-44E3-9099-C40C66FF867C}">
              <a14:compatExt xmlns:a14="http://schemas.microsoft.com/office/drawing/2010/main" spid="_x0000_s527375"/>
            </a:ext>
            <a:ext uri="{FF2B5EF4-FFF2-40B4-BE49-F238E27FC236}">
              <a16:creationId xmlns:a16="http://schemas.microsoft.com/office/drawing/2014/main" id="{C4302BFA-FA33-4C92-AAF4-1616499E7A3D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13</xdr:row>
      <xdr:rowOff>0</xdr:rowOff>
    </xdr:from>
    <xdr:ext cx="15240" cy="15240"/>
    <xdr:sp macro="" textlink="">
      <xdr:nvSpPr>
        <xdr:cNvPr id="6" name="Picture 16" hidden="1">
          <a:extLst>
            <a:ext uri="{63B3BB69-23CF-44E3-9099-C40C66FF867C}">
              <a14:compatExt xmlns:a14="http://schemas.microsoft.com/office/drawing/2010/main" spid="_x0000_s527376"/>
            </a:ext>
            <a:ext uri="{FF2B5EF4-FFF2-40B4-BE49-F238E27FC236}">
              <a16:creationId xmlns:a16="http://schemas.microsoft.com/office/drawing/2014/main" id="{EBE7D7A4-F7C2-44D1-8196-F1EAC766E6F9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14</xdr:row>
      <xdr:rowOff>0</xdr:rowOff>
    </xdr:from>
    <xdr:ext cx="15240" cy="15240"/>
    <xdr:sp macro="" textlink="">
      <xdr:nvSpPr>
        <xdr:cNvPr id="7" name="Picture 17" hidden="1">
          <a:extLst>
            <a:ext uri="{63B3BB69-23CF-44E3-9099-C40C66FF867C}">
              <a14:compatExt xmlns:a14="http://schemas.microsoft.com/office/drawing/2010/main" spid="_x0000_s527377"/>
            </a:ext>
            <a:ext uri="{FF2B5EF4-FFF2-40B4-BE49-F238E27FC236}">
              <a16:creationId xmlns:a16="http://schemas.microsoft.com/office/drawing/2014/main" id="{E9FC52FA-F478-4EAA-AB03-605C085EB512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15</xdr:row>
      <xdr:rowOff>0</xdr:rowOff>
    </xdr:from>
    <xdr:ext cx="15240" cy="15240"/>
    <xdr:sp macro="" textlink="">
      <xdr:nvSpPr>
        <xdr:cNvPr id="8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9560D616-529E-43C1-8818-579D1EFC214B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15</xdr:row>
      <xdr:rowOff>0</xdr:rowOff>
    </xdr:from>
    <xdr:ext cx="15240" cy="15240"/>
    <xdr:sp macro="" textlink="">
      <xdr:nvSpPr>
        <xdr:cNvPr id="9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6CF4A259-3257-4051-8D70-F1559E867263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17</xdr:row>
      <xdr:rowOff>0</xdr:rowOff>
    </xdr:from>
    <xdr:ext cx="15240" cy="15240"/>
    <xdr:sp macro="" textlink="">
      <xdr:nvSpPr>
        <xdr:cNvPr id="10" name="Picture 20" hidden="1">
          <a:extLst>
            <a:ext uri="{63B3BB69-23CF-44E3-9099-C40C66FF867C}">
              <a14:compatExt xmlns:a14="http://schemas.microsoft.com/office/drawing/2010/main" spid="_x0000_s527380"/>
            </a:ext>
            <a:ext uri="{FF2B5EF4-FFF2-40B4-BE49-F238E27FC236}">
              <a16:creationId xmlns:a16="http://schemas.microsoft.com/office/drawing/2014/main" id="{FC8F185B-DD5F-496C-8132-C2FA6EC878AE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16</xdr:row>
      <xdr:rowOff>0</xdr:rowOff>
    </xdr:from>
    <xdr:ext cx="15240" cy="15240"/>
    <xdr:sp macro="" textlink="">
      <xdr:nvSpPr>
        <xdr:cNvPr id="11" name="Picture 21" hidden="1">
          <a:extLst>
            <a:ext uri="{63B3BB69-23CF-44E3-9099-C40C66FF867C}">
              <a14:compatExt xmlns:a14="http://schemas.microsoft.com/office/drawing/2010/main" spid="_x0000_s527381"/>
            </a:ext>
            <a:ext uri="{FF2B5EF4-FFF2-40B4-BE49-F238E27FC236}">
              <a16:creationId xmlns:a16="http://schemas.microsoft.com/office/drawing/2014/main" id="{2C165EB5-5C03-4CB2-88B5-7471E727C2A6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16</xdr:row>
      <xdr:rowOff>0</xdr:rowOff>
    </xdr:from>
    <xdr:ext cx="15240" cy="15240"/>
    <xdr:sp macro="" textlink="">
      <xdr:nvSpPr>
        <xdr:cNvPr id="12" name="Picture 22" hidden="1">
          <a:extLst>
            <a:ext uri="{63B3BB69-23CF-44E3-9099-C40C66FF867C}">
              <a14:compatExt xmlns:a14="http://schemas.microsoft.com/office/drawing/2010/main" spid="_x0000_s527382"/>
            </a:ext>
            <a:ext uri="{FF2B5EF4-FFF2-40B4-BE49-F238E27FC236}">
              <a16:creationId xmlns:a16="http://schemas.microsoft.com/office/drawing/2014/main" id="{3B1BE9D5-67C8-4FD8-92C9-34C5DBD8FA1B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17</xdr:row>
      <xdr:rowOff>0</xdr:rowOff>
    </xdr:from>
    <xdr:ext cx="15240" cy="15240"/>
    <xdr:sp macro="" textlink="">
      <xdr:nvSpPr>
        <xdr:cNvPr id="13" name="Picture 23" hidden="1">
          <a:extLst>
            <a:ext uri="{63B3BB69-23CF-44E3-9099-C40C66FF867C}">
              <a14:compatExt xmlns:a14="http://schemas.microsoft.com/office/drawing/2010/main" spid="_x0000_s527383"/>
            </a:ext>
            <a:ext uri="{FF2B5EF4-FFF2-40B4-BE49-F238E27FC236}">
              <a16:creationId xmlns:a16="http://schemas.microsoft.com/office/drawing/2014/main" id="{7D8C34DD-CB1D-4630-9BBC-BECCE8C3101F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17</xdr:row>
      <xdr:rowOff>0</xdr:rowOff>
    </xdr:from>
    <xdr:ext cx="15240" cy="15240"/>
    <xdr:sp macro="" textlink="">
      <xdr:nvSpPr>
        <xdr:cNvPr id="14" name="Picture 24" hidden="1">
          <a:extLst>
            <a:ext uri="{63B3BB69-23CF-44E3-9099-C40C66FF867C}">
              <a14:compatExt xmlns:a14="http://schemas.microsoft.com/office/drawing/2010/main" spid="_x0000_s527384"/>
            </a:ext>
            <a:ext uri="{FF2B5EF4-FFF2-40B4-BE49-F238E27FC236}">
              <a16:creationId xmlns:a16="http://schemas.microsoft.com/office/drawing/2014/main" id="{4AFCA648-82CE-4C08-BF1C-358D1F06F7E1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17</xdr:row>
      <xdr:rowOff>0</xdr:rowOff>
    </xdr:from>
    <xdr:ext cx="15240" cy="15240"/>
    <xdr:sp macro="" textlink="">
      <xdr:nvSpPr>
        <xdr:cNvPr id="15" name="Picture 25" hidden="1">
          <a:extLst>
            <a:ext uri="{63B3BB69-23CF-44E3-9099-C40C66FF867C}">
              <a14:compatExt xmlns:a14="http://schemas.microsoft.com/office/drawing/2010/main" spid="_x0000_s527385"/>
            </a:ext>
            <a:ext uri="{FF2B5EF4-FFF2-40B4-BE49-F238E27FC236}">
              <a16:creationId xmlns:a16="http://schemas.microsoft.com/office/drawing/2014/main" id="{D2B464BA-6481-4EB0-B324-7521D6D765DD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20</xdr:row>
      <xdr:rowOff>0</xdr:rowOff>
    </xdr:from>
    <xdr:ext cx="15240" cy="15240"/>
    <xdr:sp macro="" textlink="">
      <xdr:nvSpPr>
        <xdr:cNvPr id="16" name="Picture 26" hidden="1">
          <a:extLst>
            <a:ext uri="{63B3BB69-23CF-44E3-9099-C40C66FF867C}">
              <a14:compatExt xmlns:a14="http://schemas.microsoft.com/office/drawing/2010/main" spid="_x0000_s527386"/>
            </a:ext>
            <a:ext uri="{FF2B5EF4-FFF2-40B4-BE49-F238E27FC236}">
              <a16:creationId xmlns:a16="http://schemas.microsoft.com/office/drawing/2014/main" id="{931E4B32-9E6A-409A-80BB-8F9B47BD14D7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20</xdr:row>
      <xdr:rowOff>0</xdr:rowOff>
    </xdr:from>
    <xdr:ext cx="15240" cy="15240"/>
    <xdr:sp macro="" textlink="">
      <xdr:nvSpPr>
        <xdr:cNvPr id="17" name="Picture 27" hidden="1">
          <a:extLst>
            <a:ext uri="{63B3BB69-23CF-44E3-9099-C40C66FF867C}">
              <a14:compatExt xmlns:a14="http://schemas.microsoft.com/office/drawing/2010/main" spid="_x0000_s527387"/>
            </a:ext>
            <a:ext uri="{FF2B5EF4-FFF2-40B4-BE49-F238E27FC236}">
              <a16:creationId xmlns:a16="http://schemas.microsoft.com/office/drawing/2014/main" id="{224C01E2-36E6-4F4C-92EC-14E89FF195C8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20</xdr:row>
      <xdr:rowOff>0</xdr:rowOff>
    </xdr:from>
    <xdr:ext cx="15240" cy="15240"/>
    <xdr:sp macro="" textlink="">
      <xdr:nvSpPr>
        <xdr:cNvPr id="18" name="Picture 28" hidden="1">
          <a:extLst>
            <a:ext uri="{63B3BB69-23CF-44E3-9099-C40C66FF867C}">
              <a14:compatExt xmlns:a14="http://schemas.microsoft.com/office/drawing/2010/main" spid="_x0000_s527388"/>
            </a:ext>
            <a:ext uri="{FF2B5EF4-FFF2-40B4-BE49-F238E27FC236}">
              <a16:creationId xmlns:a16="http://schemas.microsoft.com/office/drawing/2014/main" id="{E3F1A491-4D84-4CC1-9F39-165AFBCF8421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20</xdr:row>
      <xdr:rowOff>0</xdr:rowOff>
    </xdr:from>
    <xdr:ext cx="15240" cy="15240"/>
    <xdr:sp macro="" textlink="">
      <xdr:nvSpPr>
        <xdr:cNvPr id="19" name="Picture 29" hidden="1">
          <a:extLst>
            <a:ext uri="{63B3BB69-23CF-44E3-9099-C40C66FF867C}">
              <a14:compatExt xmlns:a14="http://schemas.microsoft.com/office/drawing/2010/main" spid="_x0000_s527389"/>
            </a:ext>
            <a:ext uri="{FF2B5EF4-FFF2-40B4-BE49-F238E27FC236}">
              <a16:creationId xmlns:a16="http://schemas.microsoft.com/office/drawing/2014/main" id="{60A1A5AE-C545-4BD9-9C43-F0DED5B01596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18</xdr:row>
      <xdr:rowOff>0</xdr:rowOff>
    </xdr:from>
    <xdr:ext cx="15240" cy="15240"/>
    <xdr:sp macro="" textlink="">
      <xdr:nvSpPr>
        <xdr:cNvPr id="20" name="Picture 30" hidden="1">
          <a:extLst>
            <a:ext uri="{63B3BB69-23CF-44E3-9099-C40C66FF867C}">
              <a14:compatExt xmlns:a14="http://schemas.microsoft.com/office/drawing/2010/main" spid="_x0000_s527390"/>
            </a:ext>
            <a:ext uri="{FF2B5EF4-FFF2-40B4-BE49-F238E27FC236}">
              <a16:creationId xmlns:a16="http://schemas.microsoft.com/office/drawing/2014/main" id="{68269F49-5CBA-4859-9EF2-51D7C25FEB95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18</xdr:row>
      <xdr:rowOff>0</xdr:rowOff>
    </xdr:from>
    <xdr:ext cx="15240" cy="15240"/>
    <xdr:sp macro="" textlink="">
      <xdr:nvSpPr>
        <xdr:cNvPr id="21" name="Picture 31" hidden="1">
          <a:extLst>
            <a:ext uri="{63B3BB69-23CF-44E3-9099-C40C66FF867C}">
              <a14:compatExt xmlns:a14="http://schemas.microsoft.com/office/drawing/2010/main" spid="_x0000_s527391"/>
            </a:ext>
            <a:ext uri="{FF2B5EF4-FFF2-40B4-BE49-F238E27FC236}">
              <a16:creationId xmlns:a16="http://schemas.microsoft.com/office/drawing/2014/main" id="{583596D7-95A9-4796-B473-A411527266AE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18</xdr:row>
      <xdr:rowOff>0</xdr:rowOff>
    </xdr:from>
    <xdr:ext cx="15240" cy="15240"/>
    <xdr:sp macro="" textlink="">
      <xdr:nvSpPr>
        <xdr:cNvPr id="22" name="Picture 32" hidden="1">
          <a:extLst>
            <a:ext uri="{63B3BB69-23CF-44E3-9099-C40C66FF867C}">
              <a14:compatExt xmlns:a14="http://schemas.microsoft.com/office/drawing/2010/main" spid="_x0000_s527392"/>
            </a:ext>
            <a:ext uri="{FF2B5EF4-FFF2-40B4-BE49-F238E27FC236}">
              <a16:creationId xmlns:a16="http://schemas.microsoft.com/office/drawing/2014/main" id="{AC635E00-2147-4FFD-8200-1898349CB3B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18</xdr:row>
      <xdr:rowOff>0</xdr:rowOff>
    </xdr:from>
    <xdr:ext cx="15240" cy="15240"/>
    <xdr:sp macro="" textlink="">
      <xdr:nvSpPr>
        <xdr:cNvPr id="23" name="Picture 33" hidden="1">
          <a:extLst>
            <a:ext uri="{63B3BB69-23CF-44E3-9099-C40C66FF867C}">
              <a14:compatExt xmlns:a14="http://schemas.microsoft.com/office/drawing/2010/main" spid="_x0000_s527393"/>
            </a:ext>
            <a:ext uri="{FF2B5EF4-FFF2-40B4-BE49-F238E27FC236}">
              <a16:creationId xmlns:a16="http://schemas.microsoft.com/office/drawing/2014/main" id="{FDA6DB39-7E74-4CCD-8EAD-42789DFBC10E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20</xdr:row>
      <xdr:rowOff>0</xdr:rowOff>
    </xdr:from>
    <xdr:ext cx="15240" cy="15240"/>
    <xdr:sp macro="" textlink="">
      <xdr:nvSpPr>
        <xdr:cNvPr id="24" name="Picture 34" hidden="1">
          <a:extLst>
            <a:ext uri="{63B3BB69-23CF-44E3-9099-C40C66FF867C}">
              <a14:compatExt xmlns:a14="http://schemas.microsoft.com/office/drawing/2010/main" spid="_x0000_s527394"/>
            </a:ext>
            <a:ext uri="{FF2B5EF4-FFF2-40B4-BE49-F238E27FC236}">
              <a16:creationId xmlns:a16="http://schemas.microsoft.com/office/drawing/2014/main" id="{E2C3382A-588A-42CC-A82C-F901C9E8FC29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20</xdr:row>
      <xdr:rowOff>0</xdr:rowOff>
    </xdr:from>
    <xdr:ext cx="15240" cy="15240"/>
    <xdr:sp macro="" textlink="">
      <xdr:nvSpPr>
        <xdr:cNvPr id="25" name="Picture 35" hidden="1">
          <a:extLst>
            <a:ext uri="{63B3BB69-23CF-44E3-9099-C40C66FF867C}">
              <a14:compatExt xmlns:a14="http://schemas.microsoft.com/office/drawing/2010/main" spid="_x0000_s527395"/>
            </a:ext>
            <a:ext uri="{FF2B5EF4-FFF2-40B4-BE49-F238E27FC236}">
              <a16:creationId xmlns:a16="http://schemas.microsoft.com/office/drawing/2014/main" id="{EA05C954-2D70-4A63-AE0A-D19AEE7F2972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20</xdr:row>
      <xdr:rowOff>0</xdr:rowOff>
    </xdr:from>
    <xdr:ext cx="15240" cy="15240"/>
    <xdr:sp macro="" textlink="">
      <xdr:nvSpPr>
        <xdr:cNvPr id="26" name="Picture 36" hidden="1">
          <a:extLst>
            <a:ext uri="{63B3BB69-23CF-44E3-9099-C40C66FF867C}">
              <a14:compatExt xmlns:a14="http://schemas.microsoft.com/office/drawing/2010/main" spid="_x0000_s527396"/>
            </a:ext>
            <a:ext uri="{FF2B5EF4-FFF2-40B4-BE49-F238E27FC236}">
              <a16:creationId xmlns:a16="http://schemas.microsoft.com/office/drawing/2014/main" id="{084962DD-BA01-44FC-A9C5-BB2233F3E74F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20</xdr:row>
      <xdr:rowOff>0</xdr:rowOff>
    </xdr:from>
    <xdr:ext cx="15240" cy="15240"/>
    <xdr:sp macro="" textlink="">
      <xdr:nvSpPr>
        <xdr:cNvPr id="27" name="Picture 37" hidden="1">
          <a:extLst>
            <a:ext uri="{63B3BB69-23CF-44E3-9099-C40C66FF867C}">
              <a14:compatExt xmlns:a14="http://schemas.microsoft.com/office/drawing/2010/main" spid="_x0000_s527397"/>
            </a:ext>
            <a:ext uri="{FF2B5EF4-FFF2-40B4-BE49-F238E27FC236}">
              <a16:creationId xmlns:a16="http://schemas.microsoft.com/office/drawing/2014/main" id="{443FC341-A6B1-4C29-85C9-8FB792FE4B98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20</xdr:row>
      <xdr:rowOff>0</xdr:rowOff>
    </xdr:from>
    <xdr:ext cx="15240" cy="15240"/>
    <xdr:sp macro="" textlink="">
      <xdr:nvSpPr>
        <xdr:cNvPr id="28" name="Picture 38" hidden="1">
          <a:extLst>
            <a:ext uri="{63B3BB69-23CF-44E3-9099-C40C66FF867C}">
              <a14:compatExt xmlns:a14="http://schemas.microsoft.com/office/drawing/2010/main" spid="_x0000_s527398"/>
            </a:ext>
            <a:ext uri="{FF2B5EF4-FFF2-40B4-BE49-F238E27FC236}">
              <a16:creationId xmlns:a16="http://schemas.microsoft.com/office/drawing/2014/main" id="{BFE01870-430F-4C72-9A21-F48E42213AE3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20</xdr:row>
      <xdr:rowOff>0</xdr:rowOff>
    </xdr:from>
    <xdr:ext cx="15240" cy="15240"/>
    <xdr:sp macro="" textlink="">
      <xdr:nvSpPr>
        <xdr:cNvPr id="29" name="Picture 39" hidden="1">
          <a:extLst>
            <a:ext uri="{63B3BB69-23CF-44E3-9099-C40C66FF867C}">
              <a14:compatExt xmlns:a14="http://schemas.microsoft.com/office/drawing/2010/main" spid="_x0000_s527399"/>
            </a:ext>
            <a:ext uri="{FF2B5EF4-FFF2-40B4-BE49-F238E27FC236}">
              <a16:creationId xmlns:a16="http://schemas.microsoft.com/office/drawing/2014/main" id="{0FD99B6A-B71A-42E3-A244-EDD6F50A4DAC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20</xdr:row>
      <xdr:rowOff>0</xdr:rowOff>
    </xdr:from>
    <xdr:ext cx="15240" cy="15240"/>
    <xdr:sp macro="" textlink="">
      <xdr:nvSpPr>
        <xdr:cNvPr id="30" name="Picture 40" hidden="1">
          <a:extLst>
            <a:ext uri="{63B3BB69-23CF-44E3-9099-C40C66FF867C}">
              <a14:compatExt xmlns:a14="http://schemas.microsoft.com/office/drawing/2010/main" spid="_x0000_s527400"/>
            </a:ext>
            <a:ext uri="{FF2B5EF4-FFF2-40B4-BE49-F238E27FC236}">
              <a16:creationId xmlns:a16="http://schemas.microsoft.com/office/drawing/2014/main" id="{CCEEDF1B-6543-4FED-907E-F380A6E3796B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20</xdr:row>
      <xdr:rowOff>0</xdr:rowOff>
    </xdr:from>
    <xdr:ext cx="15240" cy="15240"/>
    <xdr:sp macro="" textlink="">
      <xdr:nvSpPr>
        <xdr:cNvPr id="31" name="Picture 41" hidden="1">
          <a:extLst>
            <a:ext uri="{63B3BB69-23CF-44E3-9099-C40C66FF867C}">
              <a14:compatExt xmlns:a14="http://schemas.microsoft.com/office/drawing/2010/main" spid="_x0000_s527401"/>
            </a:ext>
            <a:ext uri="{FF2B5EF4-FFF2-40B4-BE49-F238E27FC236}">
              <a16:creationId xmlns:a16="http://schemas.microsoft.com/office/drawing/2014/main" id="{39B82283-9B02-4D34-8568-FFB820FB7E97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19</xdr:row>
      <xdr:rowOff>0</xdr:rowOff>
    </xdr:from>
    <xdr:ext cx="15240" cy="15240"/>
    <xdr:sp macro="" textlink="">
      <xdr:nvSpPr>
        <xdr:cNvPr id="32" name="Picture 42" hidden="1">
          <a:extLst>
            <a:ext uri="{63B3BB69-23CF-44E3-9099-C40C66FF867C}">
              <a14:compatExt xmlns:a14="http://schemas.microsoft.com/office/drawing/2010/main" spid="_x0000_s527402"/>
            </a:ext>
            <a:ext uri="{FF2B5EF4-FFF2-40B4-BE49-F238E27FC236}">
              <a16:creationId xmlns:a16="http://schemas.microsoft.com/office/drawing/2014/main" id="{C5B2FE92-0D8D-4F6C-9006-CA299EB0616F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19</xdr:row>
      <xdr:rowOff>0</xdr:rowOff>
    </xdr:from>
    <xdr:ext cx="15240" cy="15240"/>
    <xdr:sp macro="" textlink="">
      <xdr:nvSpPr>
        <xdr:cNvPr id="33" name="Picture 43" hidden="1">
          <a:extLst>
            <a:ext uri="{63B3BB69-23CF-44E3-9099-C40C66FF867C}">
              <a14:compatExt xmlns:a14="http://schemas.microsoft.com/office/drawing/2010/main" spid="_x0000_s527403"/>
            </a:ext>
            <a:ext uri="{FF2B5EF4-FFF2-40B4-BE49-F238E27FC236}">
              <a16:creationId xmlns:a16="http://schemas.microsoft.com/office/drawing/2014/main" id="{BCCF048E-A880-4972-803A-D7D7734A41C7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19</xdr:row>
      <xdr:rowOff>0</xdr:rowOff>
    </xdr:from>
    <xdr:ext cx="15240" cy="15240"/>
    <xdr:sp macro="" textlink="">
      <xdr:nvSpPr>
        <xdr:cNvPr id="34" name="Picture 44" hidden="1">
          <a:extLst>
            <a:ext uri="{63B3BB69-23CF-44E3-9099-C40C66FF867C}">
              <a14:compatExt xmlns:a14="http://schemas.microsoft.com/office/drawing/2010/main" spid="_x0000_s527404"/>
            </a:ext>
            <a:ext uri="{FF2B5EF4-FFF2-40B4-BE49-F238E27FC236}">
              <a16:creationId xmlns:a16="http://schemas.microsoft.com/office/drawing/2014/main" id="{66D0EBAA-8CD5-421B-B0EB-FE3DD0CC813F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19</xdr:row>
      <xdr:rowOff>0</xdr:rowOff>
    </xdr:from>
    <xdr:ext cx="15240" cy="15240"/>
    <xdr:sp macro="" textlink="">
      <xdr:nvSpPr>
        <xdr:cNvPr id="35" name="Picture 45" hidden="1">
          <a:extLst>
            <a:ext uri="{63B3BB69-23CF-44E3-9099-C40C66FF867C}">
              <a14:compatExt xmlns:a14="http://schemas.microsoft.com/office/drawing/2010/main" spid="_x0000_s527405"/>
            </a:ext>
            <a:ext uri="{FF2B5EF4-FFF2-40B4-BE49-F238E27FC236}">
              <a16:creationId xmlns:a16="http://schemas.microsoft.com/office/drawing/2014/main" id="{CB9DDC0D-2009-4DAF-9A63-E6BF886A6E61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5</xdr:col>
      <xdr:colOff>609600</xdr:colOff>
      <xdr:row>10</xdr:row>
      <xdr:rowOff>0</xdr:rowOff>
    </xdr:from>
    <xdr:to>
      <xdr:col>5</xdr:col>
      <xdr:colOff>624840</xdr:colOff>
      <xdr:row>10</xdr:row>
      <xdr:rowOff>15240</xdr:rowOff>
    </xdr:to>
    <xdr:pic>
      <xdr:nvPicPr>
        <xdr:cNvPr id="527372" name="Picture 12">
          <a:extLst>
            <a:ext uri="{FF2B5EF4-FFF2-40B4-BE49-F238E27FC236}">
              <a16:creationId xmlns:a16="http://schemas.microsoft.com/office/drawing/2014/main" id="{6BE2BD39-B6E2-61EC-408E-2B8AEA04B8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33680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14</xdr:row>
      <xdr:rowOff>0</xdr:rowOff>
    </xdr:from>
    <xdr:to>
      <xdr:col>5</xdr:col>
      <xdr:colOff>624840</xdr:colOff>
      <xdr:row>14</xdr:row>
      <xdr:rowOff>15240</xdr:rowOff>
    </xdr:to>
    <xdr:pic>
      <xdr:nvPicPr>
        <xdr:cNvPr id="527373" name="Picture 13">
          <a:extLst>
            <a:ext uri="{FF2B5EF4-FFF2-40B4-BE49-F238E27FC236}">
              <a16:creationId xmlns:a16="http://schemas.microsoft.com/office/drawing/2014/main" id="{5BBC64F3-FAA3-0009-AEB7-AD2E6A269F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46786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16</xdr:row>
      <xdr:rowOff>0</xdr:rowOff>
    </xdr:from>
    <xdr:to>
      <xdr:col>5</xdr:col>
      <xdr:colOff>624840</xdr:colOff>
      <xdr:row>16</xdr:row>
      <xdr:rowOff>15240</xdr:rowOff>
    </xdr:to>
    <xdr:pic>
      <xdr:nvPicPr>
        <xdr:cNvPr id="527374" name="Picture 14">
          <a:extLst>
            <a:ext uri="{FF2B5EF4-FFF2-40B4-BE49-F238E27FC236}">
              <a16:creationId xmlns:a16="http://schemas.microsoft.com/office/drawing/2014/main" id="{32007008-8779-E0EA-1648-2F6DE95973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53340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12</xdr:row>
      <xdr:rowOff>0</xdr:rowOff>
    </xdr:from>
    <xdr:to>
      <xdr:col>5</xdr:col>
      <xdr:colOff>624840</xdr:colOff>
      <xdr:row>12</xdr:row>
      <xdr:rowOff>15240</xdr:rowOff>
    </xdr:to>
    <xdr:pic>
      <xdr:nvPicPr>
        <xdr:cNvPr id="527375" name="Picture 15">
          <a:extLst>
            <a:ext uri="{FF2B5EF4-FFF2-40B4-BE49-F238E27FC236}">
              <a16:creationId xmlns:a16="http://schemas.microsoft.com/office/drawing/2014/main" id="{480CA72A-C512-20B6-E8C6-DFF0200001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40233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13</xdr:row>
      <xdr:rowOff>0</xdr:rowOff>
    </xdr:from>
    <xdr:to>
      <xdr:col>5</xdr:col>
      <xdr:colOff>624840</xdr:colOff>
      <xdr:row>13</xdr:row>
      <xdr:rowOff>15240</xdr:rowOff>
    </xdr:to>
    <xdr:pic>
      <xdr:nvPicPr>
        <xdr:cNvPr id="527376" name="Picture 16">
          <a:extLst>
            <a:ext uri="{FF2B5EF4-FFF2-40B4-BE49-F238E27FC236}">
              <a16:creationId xmlns:a16="http://schemas.microsoft.com/office/drawing/2014/main" id="{E2B9AE1F-619A-6CC8-3B21-4FD77678E3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43510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14</xdr:row>
      <xdr:rowOff>0</xdr:rowOff>
    </xdr:from>
    <xdr:to>
      <xdr:col>5</xdr:col>
      <xdr:colOff>624840</xdr:colOff>
      <xdr:row>14</xdr:row>
      <xdr:rowOff>15240</xdr:rowOff>
    </xdr:to>
    <xdr:pic>
      <xdr:nvPicPr>
        <xdr:cNvPr id="527377" name="Picture 17">
          <a:extLst>
            <a:ext uri="{FF2B5EF4-FFF2-40B4-BE49-F238E27FC236}">
              <a16:creationId xmlns:a16="http://schemas.microsoft.com/office/drawing/2014/main" id="{9A0ECEC9-B017-A32B-B5DE-4FB3847E23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46786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15</xdr:row>
      <xdr:rowOff>0</xdr:rowOff>
    </xdr:from>
    <xdr:to>
      <xdr:col>5</xdr:col>
      <xdr:colOff>624840</xdr:colOff>
      <xdr:row>15</xdr:row>
      <xdr:rowOff>15240</xdr:rowOff>
    </xdr:to>
    <xdr:pic>
      <xdr:nvPicPr>
        <xdr:cNvPr id="527378" name="Picture 18">
          <a:extLst>
            <a:ext uri="{FF2B5EF4-FFF2-40B4-BE49-F238E27FC236}">
              <a16:creationId xmlns:a16="http://schemas.microsoft.com/office/drawing/2014/main" id="{17ABA823-AD3E-2D55-2332-700EAB273A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50063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15</xdr:row>
      <xdr:rowOff>0</xdr:rowOff>
    </xdr:from>
    <xdr:to>
      <xdr:col>5</xdr:col>
      <xdr:colOff>624840</xdr:colOff>
      <xdr:row>15</xdr:row>
      <xdr:rowOff>15240</xdr:rowOff>
    </xdr:to>
    <xdr:pic>
      <xdr:nvPicPr>
        <xdr:cNvPr id="527379" name="Picture 19">
          <a:extLst>
            <a:ext uri="{FF2B5EF4-FFF2-40B4-BE49-F238E27FC236}">
              <a16:creationId xmlns:a16="http://schemas.microsoft.com/office/drawing/2014/main" id="{FE25096C-A63B-9D50-F5FE-C105564DB7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50063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17</xdr:row>
      <xdr:rowOff>0</xdr:rowOff>
    </xdr:from>
    <xdr:to>
      <xdr:col>5</xdr:col>
      <xdr:colOff>624840</xdr:colOff>
      <xdr:row>17</xdr:row>
      <xdr:rowOff>15240</xdr:rowOff>
    </xdr:to>
    <xdr:pic>
      <xdr:nvPicPr>
        <xdr:cNvPr id="527380" name="Picture 20">
          <a:extLst>
            <a:ext uri="{FF2B5EF4-FFF2-40B4-BE49-F238E27FC236}">
              <a16:creationId xmlns:a16="http://schemas.microsoft.com/office/drawing/2014/main" id="{03004B8E-121E-59CF-ADC4-D777E2F22C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56616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16</xdr:row>
      <xdr:rowOff>0</xdr:rowOff>
    </xdr:from>
    <xdr:to>
      <xdr:col>5</xdr:col>
      <xdr:colOff>624840</xdr:colOff>
      <xdr:row>16</xdr:row>
      <xdr:rowOff>15240</xdr:rowOff>
    </xdr:to>
    <xdr:pic>
      <xdr:nvPicPr>
        <xdr:cNvPr id="527381" name="Picture 21">
          <a:extLst>
            <a:ext uri="{FF2B5EF4-FFF2-40B4-BE49-F238E27FC236}">
              <a16:creationId xmlns:a16="http://schemas.microsoft.com/office/drawing/2014/main" id="{398198D9-01AA-7152-0EF6-E16D838F9F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53340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16</xdr:row>
      <xdr:rowOff>0</xdr:rowOff>
    </xdr:from>
    <xdr:to>
      <xdr:col>5</xdr:col>
      <xdr:colOff>624840</xdr:colOff>
      <xdr:row>16</xdr:row>
      <xdr:rowOff>15240</xdr:rowOff>
    </xdr:to>
    <xdr:pic>
      <xdr:nvPicPr>
        <xdr:cNvPr id="527382" name="Picture 22">
          <a:extLst>
            <a:ext uri="{FF2B5EF4-FFF2-40B4-BE49-F238E27FC236}">
              <a16:creationId xmlns:a16="http://schemas.microsoft.com/office/drawing/2014/main" id="{765BBC23-1E14-82DD-A166-92418A1B85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53340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17</xdr:row>
      <xdr:rowOff>0</xdr:rowOff>
    </xdr:from>
    <xdr:to>
      <xdr:col>5</xdr:col>
      <xdr:colOff>624840</xdr:colOff>
      <xdr:row>17</xdr:row>
      <xdr:rowOff>15240</xdr:rowOff>
    </xdr:to>
    <xdr:pic>
      <xdr:nvPicPr>
        <xdr:cNvPr id="527383" name="Picture 23">
          <a:extLst>
            <a:ext uri="{FF2B5EF4-FFF2-40B4-BE49-F238E27FC236}">
              <a16:creationId xmlns:a16="http://schemas.microsoft.com/office/drawing/2014/main" id="{1A622653-C581-46FD-6624-46D6ADEAD0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56616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17</xdr:row>
      <xdr:rowOff>0</xdr:rowOff>
    </xdr:from>
    <xdr:to>
      <xdr:col>5</xdr:col>
      <xdr:colOff>624840</xdr:colOff>
      <xdr:row>17</xdr:row>
      <xdr:rowOff>15240</xdr:rowOff>
    </xdr:to>
    <xdr:pic>
      <xdr:nvPicPr>
        <xdr:cNvPr id="527384" name="Picture 24">
          <a:extLst>
            <a:ext uri="{FF2B5EF4-FFF2-40B4-BE49-F238E27FC236}">
              <a16:creationId xmlns:a16="http://schemas.microsoft.com/office/drawing/2014/main" id="{9F4D7E0C-5B84-3DFC-A83A-6AAC0F1895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56616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17</xdr:row>
      <xdr:rowOff>0</xdr:rowOff>
    </xdr:from>
    <xdr:to>
      <xdr:col>5</xdr:col>
      <xdr:colOff>624840</xdr:colOff>
      <xdr:row>17</xdr:row>
      <xdr:rowOff>15240</xdr:rowOff>
    </xdr:to>
    <xdr:pic>
      <xdr:nvPicPr>
        <xdr:cNvPr id="527385" name="Picture 25">
          <a:extLst>
            <a:ext uri="{FF2B5EF4-FFF2-40B4-BE49-F238E27FC236}">
              <a16:creationId xmlns:a16="http://schemas.microsoft.com/office/drawing/2014/main" id="{0AC80541-63E7-D5DD-C73D-FC88181174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56616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20</xdr:row>
      <xdr:rowOff>0</xdr:rowOff>
    </xdr:from>
    <xdr:to>
      <xdr:col>5</xdr:col>
      <xdr:colOff>624840</xdr:colOff>
      <xdr:row>20</xdr:row>
      <xdr:rowOff>15240</xdr:rowOff>
    </xdr:to>
    <xdr:pic>
      <xdr:nvPicPr>
        <xdr:cNvPr id="527386" name="Picture 26">
          <a:extLst>
            <a:ext uri="{FF2B5EF4-FFF2-40B4-BE49-F238E27FC236}">
              <a16:creationId xmlns:a16="http://schemas.microsoft.com/office/drawing/2014/main" id="{A80A0B59-E544-16A8-3ABF-D111841537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6644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20</xdr:row>
      <xdr:rowOff>0</xdr:rowOff>
    </xdr:from>
    <xdr:to>
      <xdr:col>5</xdr:col>
      <xdr:colOff>624840</xdr:colOff>
      <xdr:row>20</xdr:row>
      <xdr:rowOff>15240</xdr:rowOff>
    </xdr:to>
    <xdr:pic>
      <xdr:nvPicPr>
        <xdr:cNvPr id="527387" name="Picture 27">
          <a:extLst>
            <a:ext uri="{FF2B5EF4-FFF2-40B4-BE49-F238E27FC236}">
              <a16:creationId xmlns:a16="http://schemas.microsoft.com/office/drawing/2014/main" id="{324159D3-59BE-E377-EC80-5F600C5366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6644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20</xdr:row>
      <xdr:rowOff>0</xdr:rowOff>
    </xdr:from>
    <xdr:to>
      <xdr:col>5</xdr:col>
      <xdr:colOff>624840</xdr:colOff>
      <xdr:row>20</xdr:row>
      <xdr:rowOff>15240</xdr:rowOff>
    </xdr:to>
    <xdr:pic>
      <xdr:nvPicPr>
        <xdr:cNvPr id="527388" name="Picture 28">
          <a:extLst>
            <a:ext uri="{FF2B5EF4-FFF2-40B4-BE49-F238E27FC236}">
              <a16:creationId xmlns:a16="http://schemas.microsoft.com/office/drawing/2014/main" id="{29AF4A97-B829-DE64-B2C1-A41BBD6369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6644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20</xdr:row>
      <xdr:rowOff>0</xdr:rowOff>
    </xdr:from>
    <xdr:to>
      <xdr:col>5</xdr:col>
      <xdr:colOff>624840</xdr:colOff>
      <xdr:row>20</xdr:row>
      <xdr:rowOff>15240</xdr:rowOff>
    </xdr:to>
    <xdr:pic>
      <xdr:nvPicPr>
        <xdr:cNvPr id="527389" name="Picture 29">
          <a:extLst>
            <a:ext uri="{FF2B5EF4-FFF2-40B4-BE49-F238E27FC236}">
              <a16:creationId xmlns:a16="http://schemas.microsoft.com/office/drawing/2014/main" id="{B1BEB0F6-E48B-7727-7E75-5B76D400F2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6644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18</xdr:row>
      <xdr:rowOff>0</xdr:rowOff>
    </xdr:from>
    <xdr:to>
      <xdr:col>5</xdr:col>
      <xdr:colOff>624840</xdr:colOff>
      <xdr:row>18</xdr:row>
      <xdr:rowOff>15240</xdr:rowOff>
    </xdr:to>
    <xdr:pic>
      <xdr:nvPicPr>
        <xdr:cNvPr id="527390" name="Picture 30">
          <a:extLst>
            <a:ext uri="{FF2B5EF4-FFF2-40B4-BE49-F238E27FC236}">
              <a16:creationId xmlns:a16="http://schemas.microsoft.com/office/drawing/2014/main" id="{700ED15B-5D55-C5C6-5AE9-97AB8BE4C7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59893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18</xdr:row>
      <xdr:rowOff>0</xdr:rowOff>
    </xdr:from>
    <xdr:to>
      <xdr:col>5</xdr:col>
      <xdr:colOff>624840</xdr:colOff>
      <xdr:row>18</xdr:row>
      <xdr:rowOff>15240</xdr:rowOff>
    </xdr:to>
    <xdr:pic>
      <xdr:nvPicPr>
        <xdr:cNvPr id="527391" name="Picture 31">
          <a:extLst>
            <a:ext uri="{FF2B5EF4-FFF2-40B4-BE49-F238E27FC236}">
              <a16:creationId xmlns:a16="http://schemas.microsoft.com/office/drawing/2014/main" id="{065B79E7-1C3B-C786-6617-7A1450ABEF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59893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18</xdr:row>
      <xdr:rowOff>0</xdr:rowOff>
    </xdr:from>
    <xdr:to>
      <xdr:col>5</xdr:col>
      <xdr:colOff>624840</xdr:colOff>
      <xdr:row>18</xdr:row>
      <xdr:rowOff>15240</xdr:rowOff>
    </xdr:to>
    <xdr:pic>
      <xdr:nvPicPr>
        <xdr:cNvPr id="527392" name="Picture 32">
          <a:extLst>
            <a:ext uri="{FF2B5EF4-FFF2-40B4-BE49-F238E27FC236}">
              <a16:creationId xmlns:a16="http://schemas.microsoft.com/office/drawing/2014/main" id="{2FAA3CC9-DF15-6136-A9FE-3B086AB936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59893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18</xdr:row>
      <xdr:rowOff>0</xdr:rowOff>
    </xdr:from>
    <xdr:to>
      <xdr:col>5</xdr:col>
      <xdr:colOff>624840</xdr:colOff>
      <xdr:row>18</xdr:row>
      <xdr:rowOff>15240</xdr:rowOff>
    </xdr:to>
    <xdr:pic>
      <xdr:nvPicPr>
        <xdr:cNvPr id="527393" name="Picture 33">
          <a:extLst>
            <a:ext uri="{FF2B5EF4-FFF2-40B4-BE49-F238E27FC236}">
              <a16:creationId xmlns:a16="http://schemas.microsoft.com/office/drawing/2014/main" id="{96089A1A-146C-EC58-0809-17C83917B4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59893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20</xdr:row>
      <xdr:rowOff>0</xdr:rowOff>
    </xdr:from>
    <xdr:to>
      <xdr:col>5</xdr:col>
      <xdr:colOff>624840</xdr:colOff>
      <xdr:row>20</xdr:row>
      <xdr:rowOff>15240</xdr:rowOff>
    </xdr:to>
    <xdr:pic>
      <xdr:nvPicPr>
        <xdr:cNvPr id="527394" name="Picture 34">
          <a:extLst>
            <a:ext uri="{FF2B5EF4-FFF2-40B4-BE49-F238E27FC236}">
              <a16:creationId xmlns:a16="http://schemas.microsoft.com/office/drawing/2014/main" id="{8DD803B2-6E34-8D46-F23D-0ABE92733C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6644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20</xdr:row>
      <xdr:rowOff>0</xdr:rowOff>
    </xdr:from>
    <xdr:to>
      <xdr:col>5</xdr:col>
      <xdr:colOff>624840</xdr:colOff>
      <xdr:row>20</xdr:row>
      <xdr:rowOff>15240</xdr:rowOff>
    </xdr:to>
    <xdr:pic>
      <xdr:nvPicPr>
        <xdr:cNvPr id="527395" name="Picture 35">
          <a:extLst>
            <a:ext uri="{FF2B5EF4-FFF2-40B4-BE49-F238E27FC236}">
              <a16:creationId xmlns:a16="http://schemas.microsoft.com/office/drawing/2014/main" id="{768DDD62-EF95-153E-5A96-F5904B4762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6644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20</xdr:row>
      <xdr:rowOff>0</xdr:rowOff>
    </xdr:from>
    <xdr:to>
      <xdr:col>5</xdr:col>
      <xdr:colOff>624840</xdr:colOff>
      <xdr:row>20</xdr:row>
      <xdr:rowOff>15240</xdr:rowOff>
    </xdr:to>
    <xdr:pic>
      <xdr:nvPicPr>
        <xdr:cNvPr id="527396" name="Picture 36">
          <a:extLst>
            <a:ext uri="{FF2B5EF4-FFF2-40B4-BE49-F238E27FC236}">
              <a16:creationId xmlns:a16="http://schemas.microsoft.com/office/drawing/2014/main" id="{3B27C876-A152-F2A1-38CC-1C1ED5F014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6644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20</xdr:row>
      <xdr:rowOff>0</xdr:rowOff>
    </xdr:from>
    <xdr:to>
      <xdr:col>5</xdr:col>
      <xdr:colOff>624840</xdr:colOff>
      <xdr:row>20</xdr:row>
      <xdr:rowOff>15240</xdr:rowOff>
    </xdr:to>
    <xdr:pic>
      <xdr:nvPicPr>
        <xdr:cNvPr id="527397" name="Picture 37">
          <a:extLst>
            <a:ext uri="{FF2B5EF4-FFF2-40B4-BE49-F238E27FC236}">
              <a16:creationId xmlns:a16="http://schemas.microsoft.com/office/drawing/2014/main" id="{19AF757A-C145-D9F9-E98E-320E23C0C7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6644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20</xdr:row>
      <xdr:rowOff>0</xdr:rowOff>
    </xdr:from>
    <xdr:to>
      <xdr:col>5</xdr:col>
      <xdr:colOff>624840</xdr:colOff>
      <xdr:row>20</xdr:row>
      <xdr:rowOff>15240</xdr:rowOff>
    </xdr:to>
    <xdr:pic>
      <xdr:nvPicPr>
        <xdr:cNvPr id="527398" name="Picture 38">
          <a:extLst>
            <a:ext uri="{FF2B5EF4-FFF2-40B4-BE49-F238E27FC236}">
              <a16:creationId xmlns:a16="http://schemas.microsoft.com/office/drawing/2014/main" id="{ED0F7AE8-ACAF-22B8-EC2D-40C5C14AE9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6644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20</xdr:row>
      <xdr:rowOff>0</xdr:rowOff>
    </xdr:from>
    <xdr:to>
      <xdr:col>5</xdr:col>
      <xdr:colOff>624840</xdr:colOff>
      <xdr:row>20</xdr:row>
      <xdr:rowOff>15240</xdr:rowOff>
    </xdr:to>
    <xdr:pic>
      <xdr:nvPicPr>
        <xdr:cNvPr id="527399" name="Picture 39">
          <a:extLst>
            <a:ext uri="{FF2B5EF4-FFF2-40B4-BE49-F238E27FC236}">
              <a16:creationId xmlns:a16="http://schemas.microsoft.com/office/drawing/2014/main" id="{CB2E78DF-66AF-1C61-2E68-2AF57518B1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6644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20</xdr:row>
      <xdr:rowOff>0</xdr:rowOff>
    </xdr:from>
    <xdr:to>
      <xdr:col>5</xdr:col>
      <xdr:colOff>624840</xdr:colOff>
      <xdr:row>20</xdr:row>
      <xdr:rowOff>15240</xdr:rowOff>
    </xdr:to>
    <xdr:pic>
      <xdr:nvPicPr>
        <xdr:cNvPr id="527400" name="Picture 40">
          <a:extLst>
            <a:ext uri="{FF2B5EF4-FFF2-40B4-BE49-F238E27FC236}">
              <a16:creationId xmlns:a16="http://schemas.microsoft.com/office/drawing/2014/main" id="{2984959E-0AC2-CA7E-3FF2-BD5C67C5BC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6644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20</xdr:row>
      <xdr:rowOff>0</xdr:rowOff>
    </xdr:from>
    <xdr:to>
      <xdr:col>5</xdr:col>
      <xdr:colOff>624840</xdr:colOff>
      <xdr:row>20</xdr:row>
      <xdr:rowOff>15240</xdr:rowOff>
    </xdr:to>
    <xdr:pic>
      <xdr:nvPicPr>
        <xdr:cNvPr id="527401" name="Picture 41">
          <a:extLst>
            <a:ext uri="{FF2B5EF4-FFF2-40B4-BE49-F238E27FC236}">
              <a16:creationId xmlns:a16="http://schemas.microsoft.com/office/drawing/2014/main" id="{49A8EE43-C590-4928-CFFC-D9ED36E788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6644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19</xdr:row>
      <xdr:rowOff>0</xdr:rowOff>
    </xdr:from>
    <xdr:to>
      <xdr:col>5</xdr:col>
      <xdr:colOff>624840</xdr:colOff>
      <xdr:row>19</xdr:row>
      <xdr:rowOff>15240</xdr:rowOff>
    </xdr:to>
    <xdr:pic>
      <xdr:nvPicPr>
        <xdr:cNvPr id="527402" name="Picture 42">
          <a:extLst>
            <a:ext uri="{FF2B5EF4-FFF2-40B4-BE49-F238E27FC236}">
              <a16:creationId xmlns:a16="http://schemas.microsoft.com/office/drawing/2014/main" id="{75E22D55-B4AE-F199-A3B2-3E1B99DCE9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6316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19</xdr:row>
      <xdr:rowOff>0</xdr:rowOff>
    </xdr:from>
    <xdr:to>
      <xdr:col>5</xdr:col>
      <xdr:colOff>624840</xdr:colOff>
      <xdr:row>19</xdr:row>
      <xdr:rowOff>15240</xdr:rowOff>
    </xdr:to>
    <xdr:pic>
      <xdr:nvPicPr>
        <xdr:cNvPr id="527403" name="Picture 43">
          <a:extLst>
            <a:ext uri="{FF2B5EF4-FFF2-40B4-BE49-F238E27FC236}">
              <a16:creationId xmlns:a16="http://schemas.microsoft.com/office/drawing/2014/main" id="{99A9CC1B-6809-B18A-6624-F1CFB6AF72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6316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19</xdr:row>
      <xdr:rowOff>0</xdr:rowOff>
    </xdr:from>
    <xdr:to>
      <xdr:col>5</xdr:col>
      <xdr:colOff>624840</xdr:colOff>
      <xdr:row>19</xdr:row>
      <xdr:rowOff>15240</xdr:rowOff>
    </xdr:to>
    <xdr:pic>
      <xdr:nvPicPr>
        <xdr:cNvPr id="527404" name="Picture 44">
          <a:extLst>
            <a:ext uri="{FF2B5EF4-FFF2-40B4-BE49-F238E27FC236}">
              <a16:creationId xmlns:a16="http://schemas.microsoft.com/office/drawing/2014/main" id="{297DF964-680B-FE45-AF1C-8C773FB0FD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6316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19</xdr:row>
      <xdr:rowOff>0</xdr:rowOff>
    </xdr:from>
    <xdr:to>
      <xdr:col>5</xdr:col>
      <xdr:colOff>624840</xdr:colOff>
      <xdr:row>19</xdr:row>
      <xdr:rowOff>15240</xdr:rowOff>
    </xdr:to>
    <xdr:pic>
      <xdr:nvPicPr>
        <xdr:cNvPr id="527405" name="Picture 45">
          <a:extLst>
            <a:ext uri="{FF2B5EF4-FFF2-40B4-BE49-F238E27FC236}">
              <a16:creationId xmlns:a16="http://schemas.microsoft.com/office/drawing/2014/main" id="{A84E0742-9DB3-D7AB-17CD-115BEB669A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6316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22</xdr:col>
      <xdr:colOff>474133</xdr:colOff>
      <xdr:row>8</xdr:row>
      <xdr:rowOff>16933</xdr:rowOff>
    </xdr:from>
    <xdr:to>
      <xdr:col>22</xdr:col>
      <xdr:colOff>1703029</xdr:colOff>
      <xdr:row>8</xdr:row>
      <xdr:rowOff>477385</xdr:rowOff>
    </xdr:to>
    <xdr:pic>
      <xdr:nvPicPr>
        <xdr:cNvPr id="41" name="Picture 40">
          <a:extLst>
            <a:ext uri="{FF2B5EF4-FFF2-40B4-BE49-F238E27FC236}">
              <a16:creationId xmlns:a16="http://schemas.microsoft.com/office/drawing/2014/main" id="{445B25DE-F879-4FFB-ABD8-8F54CEA494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243733" y="4013200"/>
          <a:ext cx="1228896" cy="460452"/>
        </a:xfrm>
        <a:prstGeom prst="rect">
          <a:avLst/>
        </a:prstGeom>
      </xdr:spPr>
    </xdr:pic>
    <xdr:clientData/>
  </xdr:twoCellAnchor>
  <xdr:twoCellAnchor editAs="oneCell">
    <xdr:from>
      <xdr:col>22</xdr:col>
      <xdr:colOff>465666</xdr:colOff>
      <xdr:row>13</xdr:row>
      <xdr:rowOff>8466</xdr:rowOff>
    </xdr:from>
    <xdr:to>
      <xdr:col>22</xdr:col>
      <xdr:colOff>1694562</xdr:colOff>
      <xdr:row>13</xdr:row>
      <xdr:rowOff>468918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D3A8407B-B61D-4DDE-86E5-F6056D6B1D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235266" y="6502399"/>
          <a:ext cx="1228896" cy="460452"/>
        </a:xfrm>
        <a:prstGeom prst="rect">
          <a:avLst/>
        </a:prstGeom>
      </xdr:spPr>
    </xdr:pic>
    <xdr:clientData/>
  </xdr:twoCellAnchor>
  <xdr:twoCellAnchor editAs="oneCell">
    <xdr:from>
      <xdr:col>22</xdr:col>
      <xdr:colOff>482600</xdr:colOff>
      <xdr:row>14</xdr:row>
      <xdr:rowOff>25400</xdr:rowOff>
    </xdr:from>
    <xdr:to>
      <xdr:col>22</xdr:col>
      <xdr:colOff>1711496</xdr:colOff>
      <xdr:row>14</xdr:row>
      <xdr:rowOff>485852</xdr:rowOff>
    </xdr:to>
    <xdr:pic>
      <xdr:nvPicPr>
        <xdr:cNvPr id="43" name="Picture 42">
          <a:extLst>
            <a:ext uri="{FF2B5EF4-FFF2-40B4-BE49-F238E27FC236}">
              <a16:creationId xmlns:a16="http://schemas.microsoft.com/office/drawing/2014/main" id="{FE4E4175-CA8C-4EE3-9CBE-4DF9C85E4D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252200" y="7018867"/>
          <a:ext cx="1228896" cy="460452"/>
        </a:xfrm>
        <a:prstGeom prst="rect">
          <a:avLst/>
        </a:prstGeom>
      </xdr:spPr>
    </xdr:pic>
    <xdr:clientData/>
  </xdr:twoCellAnchor>
  <xdr:oneCellAnchor>
    <xdr:from>
      <xdr:col>22</xdr:col>
      <xdr:colOff>762001</xdr:colOff>
      <xdr:row>8</xdr:row>
      <xdr:rowOff>262466</xdr:rowOff>
    </xdr:from>
    <xdr:ext cx="470642" cy="264560"/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8E4EC6A7-DE61-DFF0-6F77-6A18AF8E320B}"/>
            </a:ext>
          </a:extLst>
        </xdr:cNvPr>
        <xdr:cNvSpPr txBox="1"/>
      </xdr:nvSpPr>
      <xdr:spPr>
        <a:xfrm>
          <a:off x="11531601" y="4258733"/>
          <a:ext cx="470642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7752</a:t>
          </a:r>
        </a:p>
      </xdr:txBody>
    </xdr:sp>
    <xdr:clientData/>
  </xdr:oneCellAnchor>
  <xdr:oneCellAnchor>
    <xdr:from>
      <xdr:col>22</xdr:col>
      <xdr:colOff>237067</xdr:colOff>
      <xdr:row>8</xdr:row>
      <xdr:rowOff>59267</xdr:rowOff>
    </xdr:from>
    <xdr:ext cx="399148" cy="264560"/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BA123C53-0D63-3073-2A93-607032174248}"/>
            </a:ext>
          </a:extLst>
        </xdr:cNvPr>
        <xdr:cNvSpPr txBox="1"/>
      </xdr:nvSpPr>
      <xdr:spPr>
        <a:xfrm>
          <a:off x="11006667" y="4055534"/>
          <a:ext cx="39914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588</a:t>
          </a:r>
        </a:p>
      </xdr:txBody>
    </xdr:sp>
    <xdr:clientData/>
  </xdr:oneCellAnchor>
  <xdr:twoCellAnchor editAs="oneCell">
    <xdr:from>
      <xdr:col>22</xdr:col>
      <xdr:colOff>279400</xdr:colOff>
      <xdr:row>9</xdr:row>
      <xdr:rowOff>237068</xdr:rowOff>
    </xdr:from>
    <xdr:to>
      <xdr:col>22</xdr:col>
      <xdr:colOff>1784560</xdr:colOff>
      <xdr:row>9</xdr:row>
      <xdr:rowOff>364068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4713CDF2-6778-5803-B97F-44C9B7714C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049000" y="4732868"/>
          <a:ext cx="1505160" cy="127000"/>
        </a:xfrm>
        <a:prstGeom prst="rect">
          <a:avLst/>
        </a:prstGeom>
      </xdr:spPr>
    </xdr:pic>
    <xdr:clientData/>
  </xdr:twoCellAnchor>
  <xdr:twoCellAnchor editAs="oneCell">
    <xdr:from>
      <xdr:col>22</xdr:col>
      <xdr:colOff>262467</xdr:colOff>
      <xdr:row>10</xdr:row>
      <xdr:rowOff>211668</xdr:rowOff>
    </xdr:from>
    <xdr:to>
      <xdr:col>22</xdr:col>
      <xdr:colOff>1767627</xdr:colOff>
      <xdr:row>10</xdr:row>
      <xdr:rowOff>330202</xdr:rowOff>
    </xdr:to>
    <xdr:pic>
      <xdr:nvPicPr>
        <xdr:cNvPr id="50" name="Picture 49">
          <a:extLst>
            <a:ext uri="{FF2B5EF4-FFF2-40B4-BE49-F238E27FC236}">
              <a16:creationId xmlns:a16="http://schemas.microsoft.com/office/drawing/2014/main" id="{28E59FBB-BC54-EDD3-0770-D12B05CA1E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032067" y="5207001"/>
          <a:ext cx="1505160" cy="118534"/>
        </a:xfrm>
        <a:prstGeom prst="rect">
          <a:avLst/>
        </a:prstGeom>
      </xdr:spPr>
    </xdr:pic>
    <xdr:clientData/>
  </xdr:twoCellAnchor>
  <xdr:twoCellAnchor editAs="oneCell">
    <xdr:from>
      <xdr:col>22</xdr:col>
      <xdr:colOff>279400</xdr:colOff>
      <xdr:row>11</xdr:row>
      <xdr:rowOff>237068</xdr:rowOff>
    </xdr:from>
    <xdr:to>
      <xdr:col>22</xdr:col>
      <xdr:colOff>1784560</xdr:colOff>
      <xdr:row>11</xdr:row>
      <xdr:rowOff>397934</xdr:rowOff>
    </xdr:to>
    <xdr:pic>
      <xdr:nvPicPr>
        <xdr:cNvPr id="51" name="Picture 50">
          <a:extLst>
            <a:ext uri="{FF2B5EF4-FFF2-40B4-BE49-F238E27FC236}">
              <a16:creationId xmlns:a16="http://schemas.microsoft.com/office/drawing/2014/main" id="{8894B1DD-0964-CAB7-DC11-81E9AE6D88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049000" y="5731935"/>
          <a:ext cx="1505160" cy="160866"/>
        </a:xfrm>
        <a:prstGeom prst="rect">
          <a:avLst/>
        </a:prstGeom>
      </xdr:spPr>
    </xdr:pic>
    <xdr:clientData/>
  </xdr:twoCellAnchor>
  <xdr:twoCellAnchor editAs="oneCell">
    <xdr:from>
      <xdr:col>22</xdr:col>
      <xdr:colOff>228600</xdr:colOff>
      <xdr:row>12</xdr:row>
      <xdr:rowOff>237067</xdr:rowOff>
    </xdr:from>
    <xdr:to>
      <xdr:col>22</xdr:col>
      <xdr:colOff>1733760</xdr:colOff>
      <xdr:row>12</xdr:row>
      <xdr:rowOff>381000</xdr:rowOff>
    </xdr:to>
    <xdr:pic>
      <xdr:nvPicPr>
        <xdr:cNvPr id="52" name="Picture 51">
          <a:extLst>
            <a:ext uri="{FF2B5EF4-FFF2-40B4-BE49-F238E27FC236}">
              <a16:creationId xmlns:a16="http://schemas.microsoft.com/office/drawing/2014/main" id="{D68E11CE-610D-9F53-C145-AB0A9F2848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998200" y="6231467"/>
          <a:ext cx="1505160" cy="143933"/>
        </a:xfrm>
        <a:prstGeom prst="rect">
          <a:avLst/>
        </a:prstGeom>
      </xdr:spPr>
    </xdr:pic>
    <xdr:clientData/>
  </xdr:twoCellAnchor>
  <xdr:twoCellAnchor editAs="oneCell">
    <xdr:from>
      <xdr:col>22</xdr:col>
      <xdr:colOff>237066</xdr:colOff>
      <xdr:row>16</xdr:row>
      <xdr:rowOff>245534</xdr:rowOff>
    </xdr:from>
    <xdr:to>
      <xdr:col>22</xdr:col>
      <xdr:colOff>1742226</xdr:colOff>
      <xdr:row>16</xdr:row>
      <xdr:rowOff>406401</xdr:rowOff>
    </xdr:to>
    <xdr:pic>
      <xdr:nvPicPr>
        <xdr:cNvPr id="53" name="Picture 52">
          <a:extLst>
            <a:ext uri="{FF2B5EF4-FFF2-40B4-BE49-F238E27FC236}">
              <a16:creationId xmlns:a16="http://schemas.microsoft.com/office/drawing/2014/main" id="{B256F058-C36E-C8C4-5A9B-F746E2C1A0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 flipV="1">
          <a:off x="11006666" y="8238067"/>
          <a:ext cx="1505160" cy="160867"/>
        </a:xfrm>
        <a:prstGeom prst="rect">
          <a:avLst/>
        </a:prstGeom>
      </xdr:spPr>
    </xdr:pic>
    <xdr:clientData/>
  </xdr:twoCellAnchor>
  <xdr:twoCellAnchor editAs="oneCell">
    <xdr:from>
      <xdr:col>22</xdr:col>
      <xdr:colOff>254000</xdr:colOff>
      <xdr:row>17</xdr:row>
      <xdr:rowOff>262467</xdr:rowOff>
    </xdr:from>
    <xdr:to>
      <xdr:col>22</xdr:col>
      <xdr:colOff>1759160</xdr:colOff>
      <xdr:row>17</xdr:row>
      <xdr:rowOff>414867</xdr:rowOff>
    </xdr:to>
    <xdr:pic>
      <xdr:nvPicPr>
        <xdr:cNvPr id="54" name="Picture 53">
          <a:extLst>
            <a:ext uri="{FF2B5EF4-FFF2-40B4-BE49-F238E27FC236}">
              <a16:creationId xmlns:a16="http://schemas.microsoft.com/office/drawing/2014/main" id="{2234C513-4C5A-457A-2781-DB421CD16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023600" y="8754534"/>
          <a:ext cx="1505160" cy="152400"/>
        </a:xfrm>
        <a:prstGeom prst="rect">
          <a:avLst/>
        </a:prstGeom>
      </xdr:spPr>
    </xdr:pic>
    <xdr:clientData/>
  </xdr:twoCellAnchor>
  <xdr:oneCellAnchor>
    <xdr:from>
      <xdr:col>22</xdr:col>
      <xdr:colOff>203200</xdr:colOff>
      <xdr:row>13</xdr:row>
      <xdr:rowOff>25400</xdr:rowOff>
    </xdr:from>
    <xdr:ext cx="399148" cy="264560"/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26E21C04-2831-4BAF-92CB-B2E317D4B72E}"/>
            </a:ext>
          </a:extLst>
        </xdr:cNvPr>
        <xdr:cNvSpPr txBox="1"/>
      </xdr:nvSpPr>
      <xdr:spPr>
        <a:xfrm>
          <a:off x="10972800" y="6519333"/>
          <a:ext cx="39914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588</a:t>
          </a:r>
        </a:p>
      </xdr:txBody>
    </xdr:sp>
    <xdr:clientData/>
  </xdr:oneCellAnchor>
  <xdr:oneCellAnchor>
    <xdr:from>
      <xdr:col>22</xdr:col>
      <xdr:colOff>220133</xdr:colOff>
      <xdr:row>14</xdr:row>
      <xdr:rowOff>50799</xdr:rowOff>
    </xdr:from>
    <xdr:ext cx="399148" cy="264560"/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7A20142E-995C-4B53-85FC-B9A1872F3457}"/>
            </a:ext>
          </a:extLst>
        </xdr:cNvPr>
        <xdr:cNvSpPr txBox="1"/>
      </xdr:nvSpPr>
      <xdr:spPr>
        <a:xfrm>
          <a:off x="10989733" y="7044266"/>
          <a:ext cx="39914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588</a:t>
          </a:r>
        </a:p>
      </xdr:txBody>
    </xdr:sp>
    <xdr:clientData/>
  </xdr:oneCellAnchor>
  <xdr:oneCellAnchor>
    <xdr:from>
      <xdr:col>22</xdr:col>
      <xdr:colOff>245533</xdr:colOff>
      <xdr:row>15</xdr:row>
      <xdr:rowOff>194733</xdr:rowOff>
    </xdr:from>
    <xdr:ext cx="399148" cy="264560"/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C0D9806D-9C17-4CE7-9CFD-DB7F03986FC7}"/>
            </a:ext>
          </a:extLst>
        </xdr:cNvPr>
        <xdr:cNvSpPr txBox="1"/>
      </xdr:nvSpPr>
      <xdr:spPr>
        <a:xfrm>
          <a:off x="11015133" y="7687733"/>
          <a:ext cx="39914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588</a:t>
          </a:r>
        </a:p>
      </xdr:txBody>
    </xdr:sp>
    <xdr:clientData/>
  </xdr:oneCellAnchor>
  <xdr:oneCellAnchor>
    <xdr:from>
      <xdr:col>22</xdr:col>
      <xdr:colOff>254001</xdr:colOff>
      <xdr:row>18</xdr:row>
      <xdr:rowOff>203200</xdr:rowOff>
    </xdr:from>
    <xdr:ext cx="399148" cy="264560"/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0EFE1741-F5F4-44D7-8B1E-BD1A4D81A082}"/>
            </a:ext>
          </a:extLst>
        </xdr:cNvPr>
        <xdr:cNvSpPr txBox="1"/>
      </xdr:nvSpPr>
      <xdr:spPr>
        <a:xfrm>
          <a:off x="11023601" y="9194800"/>
          <a:ext cx="39914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588</a:t>
          </a:r>
        </a:p>
      </xdr:txBody>
    </xdr:sp>
    <xdr:clientData/>
  </xdr:oneCellAnchor>
  <xdr:oneCellAnchor>
    <xdr:from>
      <xdr:col>22</xdr:col>
      <xdr:colOff>279400</xdr:colOff>
      <xdr:row>19</xdr:row>
      <xdr:rowOff>245534</xdr:rowOff>
    </xdr:from>
    <xdr:ext cx="399148" cy="264560"/>
    <xdr:sp macro="" textlink="">
      <xdr:nvSpPr>
        <xdr:cNvPr id="59" name="TextBox 58">
          <a:extLst>
            <a:ext uri="{FF2B5EF4-FFF2-40B4-BE49-F238E27FC236}">
              <a16:creationId xmlns:a16="http://schemas.microsoft.com/office/drawing/2014/main" id="{6AEF5257-7DB9-4DB2-B6E3-52168C9998A2}"/>
            </a:ext>
          </a:extLst>
        </xdr:cNvPr>
        <xdr:cNvSpPr txBox="1"/>
      </xdr:nvSpPr>
      <xdr:spPr>
        <a:xfrm>
          <a:off x="11049000" y="9736667"/>
          <a:ext cx="39914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588</a:t>
          </a:r>
        </a:p>
      </xdr:txBody>
    </xdr:sp>
    <xdr:clientData/>
  </xdr:oneCellAnchor>
  <xdr:oneCellAnchor>
    <xdr:from>
      <xdr:col>22</xdr:col>
      <xdr:colOff>804333</xdr:colOff>
      <xdr:row>9</xdr:row>
      <xdr:rowOff>25400</xdr:rowOff>
    </xdr:from>
    <xdr:ext cx="542136" cy="264560"/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CFD3C9B4-63D7-43C3-B4B6-A2E8D0D9124C}"/>
            </a:ext>
          </a:extLst>
        </xdr:cNvPr>
        <xdr:cNvSpPr txBox="1"/>
      </xdr:nvSpPr>
      <xdr:spPr>
        <a:xfrm>
          <a:off x="11573933" y="4521200"/>
          <a:ext cx="5421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10415</a:t>
          </a:r>
        </a:p>
      </xdr:txBody>
    </xdr:sp>
    <xdr:clientData/>
  </xdr:oneCellAnchor>
  <xdr:oneCellAnchor>
    <xdr:from>
      <xdr:col>22</xdr:col>
      <xdr:colOff>812799</xdr:colOff>
      <xdr:row>10</xdr:row>
      <xdr:rowOff>16933</xdr:rowOff>
    </xdr:from>
    <xdr:ext cx="542136" cy="264560"/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78160927-93EC-4C60-8408-518E968D17D1}"/>
            </a:ext>
          </a:extLst>
        </xdr:cNvPr>
        <xdr:cNvSpPr txBox="1"/>
      </xdr:nvSpPr>
      <xdr:spPr>
        <a:xfrm>
          <a:off x="11582399" y="5012266"/>
          <a:ext cx="5421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10015</a:t>
          </a:r>
        </a:p>
      </xdr:txBody>
    </xdr:sp>
    <xdr:clientData/>
  </xdr:oneCellAnchor>
  <xdr:oneCellAnchor>
    <xdr:from>
      <xdr:col>22</xdr:col>
      <xdr:colOff>804333</xdr:colOff>
      <xdr:row>11</xdr:row>
      <xdr:rowOff>42333</xdr:rowOff>
    </xdr:from>
    <xdr:ext cx="542136" cy="264560"/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34BF5064-AEF9-4D73-85D7-B66E83BD5895}"/>
            </a:ext>
          </a:extLst>
        </xdr:cNvPr>
        <xdr:cNvSpPr txBox="1"/>
      </xdr:nvSpPr>
      <xdr:spPr>
        <a:xfrm>
          <a:off x="11573933" y="5537200"/>
          <a:ext cx="5421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11648</a:t>
          </a:r>
        </a:p>
      </xdr:txBody>
    </xdr:sp>
    <xdr:clientData/>
  </xdr:oneCellAnchor>
  <xdr:oneCellAnchor>
    <xdr:from>
      <xdr:col>22</xdr:col>
      <xdr:colOff>829733</xdr:colOff>
      <xdr:row>12</xdr:row>
      <xdr:rowOff>25400</xdr:rowOff>
    </xdr:from>
    <xdr:ext cx="542136" cy="264560"/>
    <xdr:sp macro="" textlink="">
      <xdr:nvSpPr>
        <xdr:cNvPr id="63" name="TextBox 62">
          <a:extLst>
            <a:ext uri="{FF2B5EF4-FFF2-40B4-BE49-F238E27FC236}">
              <a16:creationId xmlns:a16="http://schemas.microsoft.com/office/drawing/2014/main" id="{8AADB09B-607D-4013-8DEA-C7939245E64B}"/>
            </a:ext>
          </a:extLst>
        </xdr:cNvPr>
        <xdr:cNvSpPr txBox="1"/>
      </xdr:nvSpPr>
      <xdr:spPr>
        <a:xfrm>
          <a:off x="11599333" y="6019800"/>
          <a:ext cx="5421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10165</a:t>
          </a:r>
        </a:p>
      </xdr:txBody>
    </xdr:sp>
    <xdr:clientData/>
  </xdr:oneCellAnchor>
  <xdr:oneCellAnchor>
    <xdr:from>
      <xdr:col>22</xdr:col>
      <xdr:colOff>880533</xdr:colOff>
      <xdr:row>13</xdr:row>
      <xdr:rowOff>270934</xdr:rowOff>
    </xdr:from>
    <xdr:ext cx="470642" cy="264560"/>
    <xdr:sp macro="" textlink="">
      <xdr:nvSpPr>
        <xdr:cNvPr id="527360" name="TextBox 527359">
          <a:extLst>
            <a:ext uri="{FF2B5EF4-FFF2-40B4-BE49-F238E27FC236}">
              <a16:creationId xmlns:a16="http://schemas.microsoft.com/office/drawing/2014/main" id="{0D4901D8-6DDD-42BF-9A43-184D21BD445A}"/>
            </a:ext>
          </a:extLst>
        </xdr:cNvPr>
        <xdr:cNvSpPr txBox="1"/>
      </xdr:nvSpPr>
      <xdr:spPr>
        <a:xfrm>
          <a:off x="11650133" y="6764867"/>
          <a:ext cx="470642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8397</a:t>
          </a:r>
        </a:p>
      </xdr:txBody>
    </xdr:sp>
    <xdr:clientData/>
  </xdr:oneCellAnchor>
  <xdr:oneCellAnchor>
    <xdr:from>
      <xdr:col>22</xdr:col>
      <xdr:colOff>863599</xdr:colOff>
      <xdr:row>14</xdr:row>
      <xdr:rowOff>279399</xdr:rowOff>
    </xdr:from>
    <xdr:ext cx="470642" cy="264560"/>
    <xdr:sp macro="" textlink="">
      <xdr:nvSpPr>
        <xdr:cNvPr id="527361" name="TextBox 527360">
          <a:extLst>
            <a:ext uri="{FF2B5EF4-FFF2-40B4-BE49-F238E27FC236}">
              <a16:creationId xmlns:a16="http://schemas.microsoft.com/office/drawing/2014/main" id="{7FAF55CA-019E-48D5-A274-F347A5E130EA}"/>
            </a:ext>
          </a:extLst>
        </xdr:cNvPr>
        <xdr:cNvSpPr txBox="1"/>
      </xdr:nvSpPr>
      <xdr:spPr>
        <a:xfrm>
          <a:off x="11633199" y="7272866"/>
          <a:ext cx="470642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7507</a:t>
          </a:r>
        </a:p>
      </xdr:txBody>
    </xdr:sp>
    <xdr:clientData/>
  </xdr:oneCellAnchor>
  <xdr:oneCellAnchor>
    <xdr:from>
      <xdr:col>22</xdr:col>
      <xdr:colOff>821267</xdr:colOff>
      <xdr:row>15</xdr:row>
      <xdr:rowOff>1</xdr:rowOff>
    </xdr:from>
    <xdr:ext cx="470642" cy="264560"/>
    <xdr:sp macro="" textlink="">
      <xdr:nvSpPr>
        <xdr:cNvPr id="527368" name="TextBox 527367">
          <a:extLst>
            <a:ext uri="{FF2B5EF4-FFF2-40B4-BE49-F238E27FC236}">
              <a16:creationId xmlns:a16="http://schemas.microsoft.com/office/drawing/2014/main" id="{98A613FC-443A-4A53-A9EF-7D2B0533DC95}"/>
            </a:ext>
          </a:extLst>
        </xdr:cNvPr>
        <xdr:cNvSpPr txBox="1"/>
      </xdr:nvSpPr>
      <xdr:spPr>
        <a:xfrm>
          <a:off x="11590867" y="7493001"/>
          <a:ext cx="470642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9054</a:t>
          </a:r>
        </a:p>
      </xdr:txBody>
    </xdr:sp>
    <xdr:clientData/>
  </xdr:oneCellAnchor>
  <xdr:oneCellAnchor>
    <xdr:from>
      <xdr:col>22</xdr:col>
      <xdr:colOff>804333</xdr:colOff>
      <xdr:row>16</xdr:row>
      <xdr:rowOff>67734</xdr:rowOff>
    </xdr:from>
    <xdr:ext cx="542136" cy="264560"/>
    <xdr:sp macro="" textlink="">
      <xdr:nvSpPr>
        <xdr:cNvPr id="527371" name="TextBox 527370">
          <a:extLst>
            <a:ext uri="{FF2B5EF4-FFF2-40B4-BE49-F238E27FC236}">
              <a16:creationId xmlns:a16="http://schemas.microsoft.com/office/drawing/2014/main" id="{990DEC41-88B4-425A-A1BC-605F9737D396}"/>
            </a:ext>
          </a:extLst>
        </xdr:cNvPr>
        <xdr:cNvSpPr txBox="1"/>
      </xdr:nvSpPr>
      <xdr:spPr>
        <a:xfrm>
          <a:off x="11573933" y="8060267"/>
          <a:ext cx="5421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10665</a:t>
          </a:r>
        </a:p>
      </xdr:txBody>
    </xdr:sp>
    <xdr:clientData/>
  </xdr:oneCellAnchor>
  <xdr:oneCellAnchor>
    <xdr:from>
      <xdr:col>22</xdr:col>
      <xdr:colOff>812800</xdr:colOff>
      <xdr:row>17</xdr:row>
      <xdr:rowOff>33866</xdr:rowOff>
    </xdr:from>
    <xdr:ext cx="542136" cy="264560"/>
    <xdr:sp macro="" textlink="">
      <xdr:nvSpPr>
        <xdr:cNvPr id="527406" name="TextBox 527405">
          <a:extLst>
            <a:ext uri="{FF2B5EF4-FFF2-40B4-BE49-F238E27FC236}">
              <a16:creationId xmlns:a16="http://schemas.microsoft.com/office/drawing/2014/main" id="{67834934-9614-4172-8B77-659B52B06588}"/>
            </a:ext>
          </a:extLst>
        </xdr:cNvPr>
        <xdr:cNvSpPr txBox="1"/>
      </xdr:nvSpPr>
      <xdr:spPr>
        <a:xfrm>
          <a:off x="11582400" y="8525933"/>
          <a:ext cx="5421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10265</a:t>
          </a:r>
        </a:p>
      </xdr:txBody>
    </xdr:sp>
    <xdr:clientData/>
  </xdr:oneCellAnchor>
  <xdr:oneCellAnchor>
    <xdr:from>
      <xdr:col>22</xdr:col>
      <xdr:colOff>821267</xdr:colOff>
      <xdr:row>17</xdr:row>
      <xdr:rowOff>474134</xdr:rowOff>
    </xdr:from>
    <xdr:ext cx="470642" cy="264560"/>
    <xdr:sp macro="" textlink="">
      <xdr:nvSpPr>
        <xdr:cNvPr id="527407" name="TextBox 527406">
          <a:extLst>
            <a:ext uri="{FF2B5EF4-FFF2-40B4-BE49-F238E27FC236}">
              <a16:creationId xmlns:a16="http://schemas.microsoft.com/office/drawing/2014/main" id="{4EB2211B-14E1-457A-A24B-32FE381BD314}"/>
            </a:ext>
          </a:extLst>
        </xdr:cNvPr>
        <xdr:cNvSpPr txBox="1"/>
      </xdr:nvSpPr>
      <xdr:spPr>
        <a:xfrm>
          <a:off x="11590867" y="8966201"/>
          <a:ext cx="470642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6450</a:t>
          </a:r>
        </a:p>
      </xdr:txBody>
    </xdr:sp>
    <xdr:clientData/>
  </xdr:oneCellAnchor>
  <xdr:oneCellAnchor>
    <xdr:from>
      <xdr:col>22</xdr:col>
      <xdr:colOff>863601</xdr:colOff>
      <xdr:row>19</xdr:row>
      <xdr:rowOff>8467</xdr:rowOff>
    </xdr:from>
    <xdr:ext cx="470642" cy="264560"/>
    <xdr:sp macro="" textlink="">
      <xdr:nvSpPr>
        <xdr:cNvPr id="527408" name="TextBox 527407">
          <a:extLst>
            <a:ext uri="{FF2B5EF4-FFF2-40B4-BE49-F238E27FC236}">
              <a16:creationId xmlns:a16="http://schemas.microsoft.com/office/drawing/2014/main" id="{96E420B4-531B-47A3-9690-015AC18F2634}"/>
            </a:ext>
          </a:extLst>
        </xdr:cNvPr>
        <xdr:cNvSpPr txBox="1"/>
      </xdr:nvSpPr>
      <xdr:spPr>
        <a:xfrm>
          <a:off x="11633201" y="9499600"/>
          <a:ext cx="470642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9260</a:t>
          </a:r>
        </a:p>
      </xdr:txBody>
    </xdr:sp>
    <xdr:clientData/>
  </xdr:oneCellAnchor>
  <xdr:twoCellAnchor editAs="oneCell">
    <xdr:from>
      <xdr:col>22</xdr:col>
      <xdr:colOff>558800</xdr:colOff>
      <xdr:row>15</xdr:row>
      <xdr:rowOff>186268</xdr:rowOff>
    </xdr:from>
    <xdr:to>
      <xdr:col>22</xdr:col>
      <xdr:colOff>1606696</xdr:colOff>
      <xdr:row>15</xdr:row>
      <xdr:rowOff>474133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942EE88A-D675-25D4-7F6A-467045A7FD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328400" y="7679268"/>
          <a:ext cx="1047896" cy="287865"/>
        </a:xfrm>
        <a:prstGeom prst="rect">
          <a:avLst/>
        </a:prstGeom>
      </xdr:spPr>
    </xdr:pic>
    <xdr:clientData/>
  </xdr:twoCellAnchor>
  <xdr:twoCellAnchor editAs="oneCell">
    <xdr:from>
      <xdr:col>22</xdr:col>
      <xdr:colOff>508000</xdr:colOff>
      <xdr:row>18</xdr:row>
      <xdr:rowOff>160867</xdr:rowOff>
    </xdr:from>
    <xdr:to>
      <xdr:col>22</xdr:col>
      <xdr:colOff>1555896</xdr:colOff>
      <xdr:row>18</xdr:row>
      <xdr:rowOff>448732</xdr:rowOff>
    </xdr:to>
    <xdr:pic>
      <xdr:nvPicPr>
        <xdr:cNvPr id="37" name="Picture 36">
          <a:extLst>
            <a:ext uri="{FF2B5EF4-FFF2-40B4-BE49-F238E27FC236}">
              <a16:creationId xmlns:a16="http://schemas.microsoft.com/office/drawing/2014/main" id="{29C7BDAE-D197-4570-B633-1BDA0008E3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277600" y="9152467"/>
          <a:ext cx="1047896" cy="287865"/>
        </a:xfrm>
        <a:prstGeom prst="rect">
          <a:avLst/>
        </a:prstGeom>
      </xdr:spPr>
    </xdr:pic>
    <xdr:clientData/>
  </xdr:twoCellAnchor>
  <xdr:twoCellAnchor editAs="oneCell">
    <xdr:from>
      <xdr:col>22</xdr:col>
      <xdr:colOff>558800</xdr:colOff>
      <xdr:row>19</xdr:row>
      <xdr:rowOff>211667</xdr:rowOff>
    </xdr:from>
    <xdr:to>
      <xdr:col>22</xdr:col>
      <xdr:colOff>1606696</xdr:colOff>
      <xdr:row>19</xdr:row>
      <xdr:rowOff>499532</xdr:rowOff>
    </xdr:to>
    <xdr:pic>
      <xdr:nvPicPr>
        <xdr:cNvPr id="527409" name="Picture 527408">
          <a:extLst>
            <a:ext uri="{FF2B5EF4-FFF2-40B4-BE49-F238E27FC236}">
              <a16:creationId xmlns:a16="http://schemas.microsoft.com/office/drawing/2014/main" id="{2FA54E0F-D7FA-489E-92EF-A20F8976BE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328400" y="9702800"/>
          <a:ext cx="1047896" cy="2878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6</xdr:col>
          <xdr:colOff>311150</xdr:colOff>
          <xdr:row>4</xdr:row>
          <xdr:rowOff>254000</xdr:rowOff>
        </xdr:to>
        <xdr:sp macro="" textlink="">
          <xdr:nvSpPr>
            <xdr:cNvPr id="38" name="MacroDisabledInformation" hidden="1">
              <a:extLst>
                <a:ext uri="{63B3BB69-23CF-44E3-9099-C40C66FF867C}">
                  <a14:compatExt spid="_x0000_s527371"/>
                </a:ext>
                <a:ext uri="{FF2B5EF4-FFF2-40B4-BE49-F238E27FC236}">
                  <a16:creationId xmlns:a16="http://schemas.microsoft.com/office/drawing/2014/main" id="{00000000-0008-0000-0000-000026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22</xdr:col>
      <xdr:colOff>204440</xdr:colOff>
      <xdr:row>7</xdr:row>
      <xdr:rowOff>12950</xdr:rowOff>
    </xdr:from>
    <xdr:to>
      <xdr:col>22</xdr:col>
      <xdr:colOff>1935510</xdr:colOff>
      <xdr:row>7</xdr:row>
      <xdr:rowOff>504021</xdr:rowOff>
    </xdr:to>
    <xdr:grpSp>
      <xdr:nvGrpSpPr>
        <xdr:cNvPr id="527440" name="11">
          <a:extLst>
            <a:ext uri="{FF2B5EF4-FFF2-40B4-BE49-F238E27FC236}">
              <a16:creationId xmlns:a16="http://schemas.microsoft.com/office/drawing/2014/main" id="{3F22EAE3-9D7F-4E3D-8868-31BE46663139}"/>
            </a:ext>
          </a:extLst>
        </xdr:cNvPr>
        <xdr:cNvGrpSpPr/>
      </xdr:nvGrpSpPr>
      <xdr:grpSpPr>
        <a:xfrm>
          <a:off x="11126440" y="3568950"/>
          <a:ext cx="1731070" cy="491071"/>
          <a:chOff x="1097607" y="361462"/>
          <a:chExt cx="1508752" cy="508306"/>
        </a:xfrm>
      </xdr:grpSpPr>
      <xdr:pic>
        <xdr:nvPicPr>
          <xdr:cNvPr id="527441" name="Picture 527440">
            <a:extLst>
              <a:ext uri="{FF2B5EF4-FFF2-40B4-BE49-F238E27FC236}">
                <a16:creationId xmlns:a16="http://schemas.microsoft.com/office/drawing/2014/main" id="{526E0E9A-597E-091A-8ADC-88BA804A48C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527442" name="TextBox 527441">
            <a:extLst>
              <a:ext uri="{FF2B5EF4-FFF2-40B4-BE49-F238E27FC236}">
                <a16:creationId xmlns:a16="http://schemas.microsoft.com/office/drawing/2014/main" id="{4413B9D5-E578-5C48-D222-3AE684B6742D}"/>
              </a:ext>
            </a:extLst>
          </xdr:cNvPr>
          <xdr:cNvSpPr txBox="1"/>
        </xdr:nvSpPr>
        <xdr:spPr>
          <a:xfrm>
            <a:off x="1097607" y="396756"/>
            <a:ext cx="382903" cy="2766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n-IN" sz="1100"/>
              <a:t>588</a:t>
            </a:r>
          </a:p>
        </xdr:txBody>
      </xdr:sp>
      <xdr:sp macro="" textlink="">
        <xdr:nvSpPr>
          <xdr:cNvPr id="527443" name="TextBox 527442">
            <a:extLst>
              <a:ext uri="{FF2B5EF4-FFF2-40B4-BE49-F238E27FC236}">
                <a16:creationId xmlns:a16="http://schemas.microsoft.com/office/drawing/2014/main" id="{B838BD98-78E1-3783-57C5-6E9CA6E1C5EE}"/>
              </a:ext>
            </a:extLst>
          </xdr:cNvPr>
          <xdr:cNvSpPr txBox="1"/>
        </xdr:nvSpPr>
        <xdr:spPr>
          <a:xfrm>
            <a:off x="1797539" y="595923"/>
            <a:ext cx="410198" cy="27384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7732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386237</xdr:colOff>
      <xdr:row>2</xdr:row>
      <xdr:rowOff>39077</xdr:rowOff>
    </xdr:from>
    <xdr:to>
      <xdr:col>3</xdr:col>
      <xdr:colOff>65464</xdr:colOff>
      <xdr:row>3</xdr:row>
      <xdr:rowOff>10560</xdr:rowOff>
    </xdr:to>
    <xdr:grpSp>
      <xdr:nvGrpSpPr>
        <xdr:cNvPr id="5" name="11">
          <a:extLst>
            <a:ext uri="{FF2B5EF4-FFF2-40B4-BE49-F238E27FC236}">
              <a16:creationId xmlns:a16="http://schemas.microsoft.com/office/drawing/2014/main" id="{55B3C529-79A8-86F8-D456-E34C3B0DEA19}"/>
            </a:ext>
          </a:extLst>
        </xdr:cNvPr>
        <xdr:cNvGrpSpPr/>
      </xdr:nvGrpSpPr>
      <xdr:grpSpPr>
        <a:xfrm>
          <a:off x="996237" y="359077"/>
          <a:ext cx="1729227" cy="481483"/>
          <a:chOff x="1097607" y="361462"/>
          <a:chExt cx="1508752" cy="499021"/>
        </a:xfrm>
      </xdr:grpSpPr>
      <xdr:pic>
        <xdr:nvPicPr>
          <xdr:cNvPr id="2" name="Picture 1">
            <a:extLst>
              <a:ext uri="{FF2B5EF4-FFF2-40B4-BE49-F238E27FC236}">
                <a16:creationId xmlns:a16="http://schemas.microsoft.com/office/drawing/2014/main" id="{6CC41797-EE42-4857-8AB4-7383034813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2AEA27A-657D-358A-FD1C-40DAD243C9CD}"/>
              </a:ext>
            </a:extLst>
          </xdr:cNvPr>
          <xdr:cNvSpPr txBox="1"/>
        </xdr:nvSpPr>
        <xdr:spPr>
          <a:xfrm>
            <a:off x="1097607" y="396756"/>
            <a:ext cx="382903" cy="2766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n-IN" sz="1100"/>
              <a:t>{A}</a:t>
            </a:r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781F025E-80FB-6EEA-4425-A9B25AFD1822}"/>
              </a:ext>
            </a:extLst>
          </xdr:cNvPr>
          <xdr:cNvSpPr txBox="1"/>
        </xdr:nvSpPr>
        <xdr:spPr>
          <a:xfrm>
            <a:off x="1797539" y="595923"/>
            <a:ext cx="35016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{B}</a:t>
            </a:r>
          </a:p>
        </xdr:txBody>
      </xdr:sp>
    </xdr:grpSp>
    <xdr:clientData/>
  </xdr:twoCellAnchor>
  <xdr:twoCellAnchor>
    <xdr:from>
      <xdr:col>1</xdr:col>
      <xdr:colOff>605692</xdr:colOff>
      <xdr:row>9</xdr:row>
      <xdr:rowOff>141654</xdr:rowOff>
    </xdr:from>
    <xdr:to>
      <xdr:col>2</xdr:col>
      <xdr:colOff>1301896</xdr:colOff>
      <xdr:row>10</xdr:row>
      <xdr:rowOff>458827</xdr:rowOff>
    </xdr:to>
    <xdr:grpSp>
      <xdr:nvGrpSpPr>
        <xdr:cNvPr id="11" name="12">
          <a:extLst>
            <a:ext uri="{FF2B5EF4-FFF2-40B4-BE49-F238E27FC236}">
              <a16:creationId xmlns:a16="http://schemas.microsoft.com/office/drawing/2014/main" id="{78BED091-47CA-DC42-F74F-4BD9357129C0}"/>
            </a:ext>
          </a:extLst>
        </xdr:cNvPr>
        <xdr:cNvGrpSpPr/>
      </xdr:nvGrpSpPr>
      <xdr:grpSpPr>
        <a:xfrm>
          <a:off x="1215692" y="2271654"/>
          <a:ext cx="1306204" cy="477173"/>
          <a:chOff x="1094154" y="2256692"/>
          <a:chExt cx="1306781" cy="478365"/>
        </a:xfrm>
      </xdr:grpSpPr>
      <xdr:pic>
        <xdr:nvPicPr>
          <xdr:cNvPr id="7" name="Picture 6">
            <a:extLst>
              <a:ext uri="{FF2B5EF4-FFF2-40B4-BE49-F238E27FC236}">
                <a16:creationId xmlns:a16="http://schemas.microsoft.com/office/drawing/2014/main" id="{29845DC3-BC23-4594-BDA5-1893DA390C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353039" y="2447192"/>
            <a:ext cx="1047896" cy="287865"/>
          </a:xfrm>
          <a:prstGeom prst="rect">
            <a:avLst/>
          </a:prstGeom>
        </xdr:spPr>
      </xdr:pic>
      <xdr:sp macro="" textlink="">
        <xdr:nvSpPr>
          <xdr:cNvPr id="9" name="TextBox 8">
            <a:extLst>
              <a:ext uri="{FF2B5EF4-FFF2-40B4-BE49-F238E27FC236}">
                <a16:creationId xmlns:a16="http://schemas.microsoft.com/office/drawing/2014/main" id="{E5C15847-190C-4EF4-AAAB-BC52CDD59D9F}"/>
              </a:ext>
            </a:extLst>
          </xdr:cNvPr>
          <xdr:cNvSpPr txBox="1"/>
        </xdr:nvSpPr>
        <xdr:spPr>
          <a:xfrm>
            <a:off x="1778000" y="2256692"/>
            <a:ext cx="35016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{B}</a:t>
            </a:r>
          </a:p>
        </xdr:txBody>
      </xdr:sp>
      <xdr:sp macro="" textlink="">
        <xdr:nvSpPr>
          <xdr:cNvPr id="10" name="TextBox 9">
            <a:extLst>
              <a:ext uri="{FF2B5EF4-FFF2-40B4-BE49-F238E27FC236}">
                <a16:creationId xmlns:a16="http://schemas.microsoft.com/office/drawing/2014/main" id="{37C4BF5C-450E-4277-84F6-1F9025557876}"/>
              </a:ext>
            </a:extLst>
          </xdr:cNvPr>
          <xdr:cNvSpPr txBox="1"/>
        </xdr:nvSpPr>
        <xdr:spPr>
          <a:xfrm>
            <a:off x="1094154" y="2447193"/>
            <a:ext cx="35503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{A}</a:t>
            </a:r>
          </a:p>
        </xdr:txBody>
      </xdr:sp>
    </xdr:grpSp>
    <xdr:clientData/>
  </xdr:twoCellAnchor>
  <xdr:twoCellAnchor>
    <xdr:from>
      <xdr:col>2</xdr:col>
      <xdr:colOff>14653</xdr:colOff>
      <xdr:row>7</xdr:row>
      <xdr:rowOff>112346</xdr:rowOff>
    </xdr:from>
    <xdr:to>
      <xdr:col>3</xdr:col>
      <xdr:colOff>78852</xdr:colOff>
      <xdr:row>7</xdr:row>
      <xdr:rowOff>405422</xdr:rowOff>
    </xdr:to>
    <xdr:grpSp>
      <xdr:nvGrpSpPr>
        <xdr:cNvPr id="14" name="0">
          <a:extLst>
            <a:ext uri="{FF2B5EF4-FFF2-40B4-BE49-F238E27FC236}">
              <a16:creationId xmlns:a16="http://schemas.microsoft.com/office/drawing/2014/main" id="{E40A3DFD-98CC-1BF0-1BD6-98083D3161FE}"/>
            </a:ext>
          </a:extLst>
        </xdr:cNvPr>
        <xdr:cNvGrpSpPr/>
      </xdr:nvGrpSpPr>
      <xdr:grpSpPr>
        <a:xfrm>
          <a:off x="1234653" y="1582346"/>
          <a:ext cx="1504199" cy="293076"/>
          <a:chOff x="1172308" y="1514231"/>
          <a:chExt cx="1505160" cy="293076"/>
        </a:xfrm>
      </xdr:grpSpPr>
      <xdr:pic>
        <xdr:nvPicPr>
          <xdr:cNvPr id="6" name="StraightBar">
            <a:extLst>
              <a:ext uri="{FF2B5EF4-FFF2-40B4-BE49-F238E27FC236}">
                <a16:creationId xmlns:a16="http://schemas.microsoft.com/office/drawing/2014/main" id="{5719F8CE-74E9-4667-BDB4-D6D7D8AD886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13" name="TextBox 12">
            <a:extLst>
              <a:ext uri="{FF2B5EF4-FFF2-40B4-BE49-F238E27FC236}">
                <a16:creationId xmlns:a16="http://schemas.microsoft.com/office/drawing/2014/main" id="{5A464016-2A53-414B-B580-BE7A42BA89C3}"/>
              </a:ext>
            </a:extLst>
          </xdr:cNvPr>
          <xdr:cNvSpPr txBox="1"/>
        </xdr:nvSpPr>
        <xdr:spPr>
          <a:xfrm>
            <a:off x="1787769" y="1514231"/>
            <a:ext cx="35503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{A}</a:t>
            </a:r>
          </a:p>
        </xdr:txBody>
      </xdr:sp>
    </xdr:grpSp>
    <xdr:clientData/>
  </xdr:twoCellAnchor>
  <xdr:twoCellAnchor>
    <xdr:from>
      <xdr:col>1</xdr:col>
      <xdr:colOff>560976</xdr:colOff>
      <xdr:row>13</xdr:row>
      <xdr:rowOff>130233</xdr:rowOff>
    </xdr:from>
    <xdr:to>
      <xdr:col>3</xdr:col>
      <xdr:colOff>436245</xdr:colOff>
      <xdr:row>15</xdr:row>
      <xdr:rowOff>129518</xdr:rowOff>
    </xdr:to>
    <xdr:grpSp>
      <xdr:nvGrpSpPr>
        <xdr:cNvPr id="8" name="672">
          <a:extLst>
            <a:ext uri="{FF2B5EF4-FFF2-40B4-BE49-F238E27FC236}">
              <a16:creationId xmlns:a16="http://schemas.microsoft.com/office/drawing/2014/main" id="{7EA04364-013A-4D2E-A3A9-F83118561E33}"/>
            </a:ext>
          </a:extLst>
        </xdr:cNvPr>
        <xdr:cNvGrpSpPr>
          <a:grpSpLocks/>
        </xdr:cNvGrpSpPr>
      </xdr:nvGrpSpPr>
      <xdr:grpSpPr bwMode="auto">
        <a:xfrm>
          <a:off x="1170976" y="3265233"/>
          <a:ext cx="1925269" cy="319285"/>
          <a:chOff x="600" y="72619"/>
          <a:chExt cx="202" cy="33"/>
        </a:xfrm>
      </xdr:grpSpPr>
      <xdr:sp macro="" textlink="">
        <xdr:nvSpPr>
          <xdr:cNvPr id="12" name="Freeform 8535">
            <a:extLst>
              <a:ext uri="{FF2B5EF4-FFF2-40B4-BE49-F238E27FC236}">
                <a16:creationId xmlns:a16="http://schemas.microsoft.com/office/drawing/2014/main" id="{D641F7EB-6311-738F-1913-485BFF961642}"/>
              </a:ext>
            </a:extLst>
          </xdr:cNvPr>
          <xdr:cNvSpPr>
            <a:spLocks/>
          </xdr:cNvSpPr>
        </xdr:nvSpPr>
        <xdr:spPr bwMode="auto">
          <a:xfrm>
            <a:off x="640" y="72638"/>
            <a:ext cx="109" cy="11"/>
          </a:xfrm>
          <a:custGeom>
            <a:avLst/>
            <a:gdLst>
              <a:gd name="T0" fmla="*/ 0 w 109"/>
              <a:gd name="T1" fmla="*/ 2 h 11"/>
              <a:gd name="T2" fmla="*/ 31 w 109"/>
              <a:gd name="T3" fmla="*/ 2 h 11"/>
              <a:gd name="T4" fmla="*/ 31 w 109"/>
              <a:gd name="T5" fmla="*/ 0 h 11"/>
              <a:gd name="T6" fmla="*/ 107 w 109"/>
              <a:gd name="T7" fmla="*/ 0 h 11"/>
              <a:gd name="T8" fmla="*/ 109 w 109"/>
              <a:gd name="T9" fmla="*/ 1 h 11"/>
              <a:gd name="T10" fmla="*/ 109 w 109"/>
              <a:gd name="T11" fmla="*/ 11 h 11"/>
              <a:gd name="T12" fmla="*/ 0 60000 65536"/>
              <a:gd name="T13" fmla="*/ 0 60000 65536"/>
              <a:gd name="T14" fmla="*/ 0 60000 65536"/>
              <a:gd name="T15" fmla="*/ 0 60000 65536"/>
              <a:gd name="T16" fmla="*/ 0 60000 65536"/>
              <a:gd name="T17" fmla="*/ 0 60000 65536"/>
            </a:gdLst>
            <a:ahLst/>
            <a:cxnLst>
              <a:cxn ang="T12">
                <a:pos x="T0" y="T1"/>
              </a:cxn>
              <a:cxn ang="T13">
                <a:pos x="T2" y="T3"/>
              </a:cxn>
              <a:cxn ang="T14">
                <a:pos x="T4" y="T5"/>
              </a:cxn>
              <a:cxn ang="T15">
                <a:pos x="T6" y="T7"/>
              </a:cxn>
              <a:cxn ang="T16">
                <a:pos x="T8" y="T9"/>
              </a:cxn>
              <a:cxn ang="T17">
                <a:pos x="T10" y="T11"/>
              </a:cxn>
            </a:cxnLst>
            <a:rect l="0" t="0" r="r" b="b"/>
            <a:pathLst>
              <a:path w="109" h="11">
                <a:moveTo>
                  <a:pt x="0" y="2"/>
                </a:moveTo>
                <a:lnTo>
                  <a:pt x="31" y="2"/>
                </a:lnTo>
                <a:lnTo>
                  <a:pt x="31" y="0"/>
                </a:lnTo>
                <a:lnTo>
                  <a:pt x="107" y="0"/>
                </a:lnTo>
                <a:cubicBezTo>
                  <a:pt x="107" y="0"/>
                  <a:pt x="109" y="0"/>
                  <a:pt x="109" y="1"/>
                </a:cubicBezTo>
                <a:lnTo>
                  <a:pt x="109" y="11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M8">
        <xdr:nvSpPr>
          <xdr:cNvPr id="15" name="Text Box 8536">
            <a:extLst>
              <a:ext uri="{FF2B5EF4-FFF2-40B4-BE49-F238E27FC236}">
                <a16:creationId xmlns:a16="http://schemas.microsoft.com/office/drawing/2014/main" id="{67F2C9B8-2146-7647-B3CC-D1532572A6F6}"/>
              </a:ext>
            </a:extLst>
          </xdr:cNvPr>
          <xdr:cNvSpPr txBox="1">
            <a:spLocks noChangeArrowheads="1" noTextEdit="1"/>
          </xdr:cNvSpPr>
        </xdr:nvSpPr>
        <xdr:spPr bwMode="auto">
          <a:xfrm>
            <a:off x="637" y="72622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r>
              <a:rPr lang="en-GB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{A}</a:t>
            </a:r>
          </a:p>
        </xdr:txBody>
      </xdr:sp>
      <xdr:sp macro="" textlink="N8">
        <xdr:nvSpPr>
          <xdr:cNvPr id="16" name="Text Box 8537">
            <a:extLst>
              <a:ext uri="{FF2B5EF4-FFF2-40B4-BE49-F238E27FC236}">
                <a16:creationId xmlns:a16="http://schemas.microsoft.com/office/drawing/2014/main" id="{15E51766-892F-D238-AE9F-50B775552D63}"/>
              </a:ext>
            </a:extLst>
          </xdr:cNvPr>
          <xdr:cNvSpPr txBox="1">
            <a:spLocks noChangeArrowheads="1" noTextEdit="1"/>
          </xdr:cNvSpPr>
        </xdr:nvSpPr>
        <xdr:spPr bwMode="auto">
          <a:xfrm>
            <a:off x="689" y="7261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r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{B}</a:t>
            </a:r>
            <a:endParaRPr lang="en-GB" sz="10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endParaRPr>
          </a:p>
        </xdr:txBody>
      </xdr:sp>
      <xdr:sp macro="" textlink="O8">
        <xdr:nvSpPr>
          <xdr:cNvPr id="17" name="Text Box 8538">
            <a:extLst>
              <a:ext uri="{FF2B5EF4-FFF2-40B4-BE49-F238E27FC236}">
                <a16:creationId xmlns:a16="http://schemas.microsoft.com/office/drawing/2014/main" id="{BEDA3A1D-2306-A495-C309-20DDD2C0A829}"/>
              </a:ext>
            </a:extLst>
          </xdr:cNvPr>
          <xdr:cNvSpPr txBox="1">
            <a:spLocks noChangeArrowheads="1" noTextEdit="1"/>
          </xdr:cNvSpPr>
        </xdr:nvSpPr>
        <xdr:spPr bwMode="auto">
          <a:xfrm>
            <a:off x="753" y="7263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r>
              <a:rPr lang="en-GB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{C}</a:t>
            </a:r>
          </a:p>
        </xdr:txBody>
      </xdr:sp>
      <xdr:sp macro="" textlink="">
        <xdr:nvSpPr>
          <xdr:cNvPr id="18" name="Text Box 8539">
            <a:extLst>
              <a:ext uri="{FF2B5EF4-FFF2-40B4-BE49-F238E27FC236}">
                <a16:creationId xmlns:a16="http://schemas.microsoft.com/office/drawing/2014/main" id="{EA515952-4EA6-9CFA-AF41-4C2901890F2E}"/>
              </a:ext>
            </a:extLst>
          </xdr:cNvPr>
          <xdr:cNvSpPr txBox="1">
            <a:spLocks noChangeArrowheads="1"/>
          </xdr:cNvSpPr>
        </xdr:nvSpPr>
        <xdr:spPr bwMode="auto">
          <a:xfrm>
            <a:off x="600" y="7262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r>
              <a:rPr lang="en-GB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Lap=</a:t>
            </a:r>
          </a:p>
        </xdr:txBody>
      </xdr:sp>
    </xdr:grpSp>
    <xdr:clientData/>
  </xdr:twoCellAnchor>
  <xdr:twoCellAnchor>
    <xdr:from>
      <xdr:col>2</xdr:col>
      <xdr:colOff>263364</xdr:colOff>
      <xdr:row>17</xdr:row>
      <xdr:rowOff>109706</xdr:rowOff>
    </xdr:from>
    <xdr:to>
      <xdr:col>2</xdr:col>
      <xdr:colOff>1139664</xdr:colOff>
      <xdr:row>18</xdr:row>
      <xdr:rowOff>132662</xdr:rowOff>
    </xdr:to>
    <xdr:grpSp>
      <xdr:nvGrpSpPr>
        <xdr:cNvPr id="19" name="100">
          <a:extLst>
            <a:ext uri="{FF2B5EF4-FFF2-40B4-BE49-F238E27FC236}">
              <a16:creationId xmlns:a16="http://schemas.microsoft.com/office/drawing/2014/main" id="{302CDE24-E39C-4155-BD77-A9E74B08EA70}"/>
            </a:ext>
          </a:extLst>
        </xdr:cNvPr>
        <xdr:cNvGrpSpPr>
          <a:grpSpLocks/>
        </xdr:cNvGrpSpPr>
      </xdr:nvGrpSpPr>
      <xdr:grpSpPr bwMode="auto">
        <a:xfrm>
          <a:off x="1483364" y="3884706"/>
          <a:ext cx="876300" cy="182956"/>
          <a:chOff x="656" y="25"/>
          <a:chExt cx="92" cy="19"/>
        </a:xfrm>
      </xdr:grpSpPr>
      <xdr:sp macro="" textlink="">
        <xdr:nvSpPr>
          <xdr:cNvPr id="20" name="Line 2">
            <a:extLst>
              <a:ext uri="{FF2B5EF4-FFF2-40B4-BE49-F238E27FC236}">
                <a16:creationId xmlns:a16="http://schemas.microsoft.com/office/drawing/2014/main" id="{2765FD36-422E-6EC3-FCE9-BF358ABFC1FF}"/>
              </a:ext>
            </a:extLst>
          </xdr:cNvPr>
          <xdr:cNvSpPr>
            <a:spLocks noChangeShapeType="1"/>
          </xdr:cNvSpPr>
        </xdr:nvSpPr>
        <xdr:spPr bwMode="auto">
          <a:xfrm>
            <a:off x="656" y="44"/>
            <a:ext cx="92" cy="0"/>
          </a:xfrm>
          <a:prstGeom prst="line">
            <a:avLst/>
          </a:prstGeom>
          <a:noFill/>
          <a:ln w="12700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M9">
        <xdr:nvSpPr>
          <xdr:cNvPr id="21" name="Text Box 3">
            <a:extLst>
              <a:ext uri="{FF2B5EF4-FFF2-40B4-BE49-F238E27FC236}">
                <a16:creationId xmlns:a16="http://schemas.microsoft.com/office/drawing/2014/main" id="{301271DB-9AFE-6B65-37F8-2C8E3DE32EF0}"/>
              </a:ext>
            </a:extLst>
          </xdr:cNvPr>
          <xdr:cNvSpPr txBox="1">
            <a:spLocks noChangeArrowheads="1" noTextEdit="1"/>
          </xdr:cNvSpPr>
        </xdr:nvSpPr>
        <xdr:spPr bwMode="auto">
          <a:xfrm>
            <a:off x="679" y="25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r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{A}</a:t>
            </a:r>
            <a:endParaRPr lang="en-IN" sz="10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endParaRPr>
          </a:p>
        </xdr:txBody>
      </xdr:sp>
    </xdr:grpSp>
    <xdr:clientData/>
  </xdr:twoCellAnchor>
  <xdr:twoCellAnchor>
    <xdr:from>
      <xdr:col>2</xdr:col>
      <xdr:colOff>0</xdr:colOff>
      <xdr:row>21</xdr:row>
      <xdr:rowOff>0</xdr:rowOff>
    </xdr:from>
    <xdr:to>
      <xdr:col>3</xdr:col>
      <xdr:colOff>52775</xdr:colOff>
      <xdr:row>22</xdr:row>
      <xdr:rowOff>22956</xdr:rowOff>
    </xdr:to>
    <xdr:grpSp>
      <xdr:nvGrpSpPr>
        <xdr:cNvPr id="22" name="671">
          <a:extLst>
            <a:ext uri="{FF2B5EF4-FFF2-40B4-BE49-F238E27FC236}">
              <a16:creationId xmlns:a16="http://schemas.microsoft.com/office/drawing/2014/main" id="{A9EB5241-4679-429E-AEB9-DA0615B0539D}"/>
            </a:ext>
          </a:extLst>
        </xdr:cNvPr>
        <xdr:cNvGrpSpPr>
          <a:grpSpLocks/>
        </xdr:cNvGrpSpPr>
      </xdr:nvGrpSpPr>
      <xdr:grpSpPr bwMode="auto">
        <a:xfrm>
          <a:off x="1220000" y="4415000"/>
          <a:ext cx="1492775" cy="182956"/>
          <a:chOff x="607" y="72585"/>
          <a:chExt cx="157" cy="19"/>
        </a:xfrm>
      </xdr:grpSpPr>
      <xdr:sp macro="" textlink="">
        <xdr:nvSpPr>
          <xdr:cNvPr id="23" name="Freeform 8525">
            <a:extLst>
              <a:ext uri="{FF2B5EF4-FFF2-40B4-BE49-F238E27FC236}">
                <a16:creationId xmlns:a16="http://schemas.microsoft.com/office/drawing/2014/main" id="{02F27A12-5099-A1B0-08E2-79405C9FB29B}"/>
              </a:ext>
            </a:extLst>
          </xdr:cNvPr>
          <xdr:cNvSpPr>
            <a:spLocks/>
          </xdr:cNvSpPr>
        </xdr:nvSpPr>
        <xdr:spPr bwMode="auto">
          <a:xfrm>
            <a:off x="642" y="72602"/>
            <a:ext cx="122" cy="2"/>
          </a:xfrm>
          <a:custGeom>
            <a:avLst/>
            <a:gdLst>
              <a:gd name="T0" fmla="*/ 0 w 122"/>
              <a:gd name="T1" fmla="*/ 0 h 2"/>
              <a:gd name="T2" fmla="*/ 25 w 122"/>
              <a:gd name="T3" fmla="*/ 0 h 2"/>
              <a:gd name="T4" fmla="*/ 25 w 122"/>
              <a:gd name="T5" fmla="*/ 2 h 2"/>
              <a:gd name="T6" fmla="*/ 122 w 122"/>
              <a:gd name="T7" fmla="*/ 2 h 2"/>
              <a:gd name="T8" fmla="*/ 0 60000 65536"/>
              <a:gd name="T9" fmla="*/ 0 60000 65536"/>
              <a:gd name="T10" fmla="*/ 0 60000 65536"/>
              <a:gd name="T11" fmla="*/ 0 60000 65536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0" t="0" r="r" b="b"/>
            <a:pathLst>
              <a:path w="122" h="2">
                <a:moveTo>
                  <a:pt x="0" y="0"/>
                </a:moveTo>
                <a:cubicBezTo>
                  <a:pt x="4" y="0"/>
                  <a:pt x="21" y="0"/>
                  <a:pt x="25" y="0"/>
                </a:cubicBezTo>
                <a:lnTo>
                  <a:pt x="25" y="2"/>
                </a:lnTo>
                <a:lnTo>
                  <a:pt x="122" y="2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M33">
        <xdr:nvSpPr>
          <xdr:cNvPr id="24" name="Text Box 8526">
            <a:extLst>
              <a:ext uri="{FF2B5EF4-FFF2-40B4-BE49-F238E27FC236}">
                <a16:creationId xmlns:a16="http://schemas.microsoft.com/office/drawing/2014/main" id="{20AAC8DC-E5AF-9F90-536D-BA94CDE9500D}"/>
              </a:ext>
            </a:extLst>
          </xdr:cNvPr>
          <xdr:cNvSpPr txBox="1">
            <a:spLocks noChangeArrowheads="1" noTextEdit="1"/>
          </xdr:cNvSpPr>
        </xdr:nvSpPr>
        <xdr:spPr bwMode="auto">
          <a:xfrm>
            <a:off x="639" y="72585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CC07F2B3-718B-466C-9AE4-DA3072CB3377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 </a:t>
            </a:fld>
            <a:endParaRPr lang="en-GB" sz="10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endParaRPr>
          </a:p>
        </xdr:txBody>
      </xdr:sp>
      <xdr:sp macro="" textlink="N33">
        <xdr:nvSpPr>
          <xdr:cNvPr id="25" name="Text Box 8527">
            <a:extLst>
              <a:ext uri="{FF2B5EF4-FFF2-40B4-BE49-F238E27FC236}">
                <a16:creationId xmlns:a16="http://schemas.microsoft.com/office/drawing/2014/main" id="{8365DCE1-B881-EB64-E97E-24BEBFB662C1}"/>
              </a:ext>
            </a:extLst>
          </xdr:cNvPr>
          <xdr:cNvSpPr txBox="1">
            <a:spLocks noChangeArrowheads="1" noTextEdit="1"/>
          </xdr:cNvSpPr>
        </xdr:nvSpPr>
        <xdr:spPr bwMode="auto">
          <a:xfrm>
            <a:off x="705" y="72585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r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{B}</a:t>
            </a:r>
            <a:endParaRPr lang="en-GB" sz="10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endParaRPr>
          </a:p>
        </xdr:txBody>
      </xdr:sp>
      <xdr:sp macro="" textlink="">
        <xdr:nvSpPr>
          <xdr:cNvPr id="26" name="Text Box 8529">
            <a:extLst>
              <a:ext uri="{FF2B5EF4-FFF2-40B4-BE49-F238E27FC236}">
                <a16:creationId xmlns:a16="http://schemas.microsoft.com/office/drawing/2014/main" id="{E405BD0A-EBC1-932D-395A-56C4D6CD041F}"/>
              </a:ext>
            </a:extLst>
          </xdr:cNvPr>
          <xdr:cNvSpPr txBox="1">
            <a:spLocks noChangeArrowheads="1"/>
          </xdr:cNvSpPr>
        </xdr:nvSpPr>
        <xdr:spPr bwMode="auto">
          <a:xfrm>
            <a:off x="607" y="72585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r>
              <a:rPr lang="en-GB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Lap=</a:t>
            </a:r>
          </a:p>
        </xdr:txBody>
      </xdr:sp>
    </xdr:grpSp>
    <xdr:clientData/>
  </xdr:twoCellAnchor>
  <xdr:twoCellAnchor>
    <xdr:from>
      <xdr:col>2</xdr:col>
      <xdr:colOff>213852</xdr:colOff>
      <xdr:row>20</xdr:row>
      <xdr:rowOff>120211</xdr:rowOff>
    </xdr:from>
    <xdr:to>
      <xdr:col>2</xdr:col>
      <xdr:colOff>680577</xdr:colOff>
      <xdr:row>21</xdr:row>
      <xdr:rowOff>143168</xdr:rowOff>
    </xdr:to>
    <xdr:sp macro="" textlink="N33">
      <xdr:nvSpPr>
        <xdr:cNvPr id="27" name="Text Box 8527">
          <a:extLst>
            <a:ext uri="{FF2B5EF4-FFF2-40B4-BE49-F238E27FC236}">
              <a16:creationId xmlns:a16="http://schemas.microsoft.com/office/drawing/2014/main" id="{659D3175-B721-4467-80C5-98CB56D89879}"/>
            </a:ext>
          </a:extLst>
        </xdr:cNvPr>
        <xdr:cNvSpPr txBox="1">
          <a:spLocks noChangeArrowheads="1" noTextEdit="1"/>
        </xdr:cNvSpPr>
      </xdr:nvSpPr>
      <xdr:spPr bwMode="auto">
        <a:xfrm>
          <a:off x="1431179" y="4342815"/>
          <a:ext cx="466725" cy="1809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t>{A}</a:t>
          </a:r>
          <a:endParaRPr lang="en-GB" sz="1000" b="0" i="0" u="none" strike="noStrike" baseline="0">
            <a:solidFill>
              <a:srgbClr val="000000"/>
            </a:solidFill>
            <a:latin typeface="Tahoma"/>
            <a:ea typeface="Tahoma"/>
            <a:cs typeface="Tahoma"/>
          </a:endParaRPr>
        </a:p>
      </xdr:txBody>
    </xdr:sp>
    <xdr:clientData/>
  </xdr:twoCellAnchor>
  <xdr:twoCellAnchor>
    <xdr:from>
      <xdr:col>1</xdr:col>
      <xdr:colOff>553064</xdr:colOff>
      <xdr:row>24</xdr:row>
      <xdr:rowOff>8779</xdr:rowOff>
    </xdr:from>
    <xdr:to>
      <xdr:col>3</xdr:col>
      <xdr:colOff>269217</xdr:colOff>
      <xdr:row>25</xdr:row>
      <xdr:rowOff>41260</xdr:rowOff>
    </xdr:to>
    <xdr:grpSp>
      <xdr:nvGrpSpPr>
        <xdr:cNvPr id="28" name="673">
          <a:extLst>
            <a:ext uri="{FF2B5EF4-FFF2-40B4-BE49-F238E27FC236}">
              <a16:creationId xmlns:a16="http://schemas.microsoft.com/office/drawing/2014/main" id="{92DDCB67-1DAA-47BE-A3E3-FB12A06C7C1C}"/>
            </a:ext>
          </a:extLst>
        </xdr:cNvPr>
        <xdr:cNvGrpSpPr>
          <a:grpSpLocks/>
        </xdr:cNvGrpSpPr>
      </xdr:nvGrpSpPr>
      <xdr:grpSpPr bwMode="auto">
        <a:xfrm>
          <a:off x="1163064" y="4903779"/>
          <a:ext cx="1766153" cy="192481"/>
          <a:chOff x="605" y="72654"/>
          <a:chExt cx="204" cy="20"/>
        </a:xfrm>
      </xdr:grpSpPr>
      <xdr:sp macro="" textlink="">
        <xdr:nvSpPr>
          <xdr:cNvPr id="29" name="Freeform 8542">
            <a:extLst>
              <a:ext uri="{FF2B5EF4-FFF2-40B4-BE49-F238E27FC236}">
                <a16:creationId xmlns:a16="http://schemas.microsoft.com/office/drawing/2014/main" id="{5FE00883-BB68-1C62-6E46-F8F9D1C5842D}"/>
              </a:ext>
            </a:extLst>
          </xdr:cNvPr>
          <xdr:cNvSpPr>
            <a:spLocks/>
          </xdr:cNvSpPr>
        </xdr:nvSpPr>
        <xdr:spPr bwMode="auto">
          <a:xfrm>
            <a:off x="640" y="72672"/>
            <a:ext cx="137" cy="2"/>
          </a:xfrm>
          <a:custGeom>
            <a:avLst/>
            <a:gdLst>
              <a:gd name="T0" fmla="*/ 0 w 137"/>
              <a:gd name="T1" fmla="*/ 0 h 2"/>
              <a:gd name="T2" fmla="*/ 31 w 137"/>
              <a:gd name="T3" fmla="*/ 0 h 2"/>
              <a:gd name="T4" fmla="*/ 31 w 137"/>
              <a:gd name="T5" fmla="*/ 2 h 2"/>
              <a:gd name="T6" fmla="*/ 107 w 137"/>
              <a:gd name="T7" fmla="*/ 2 h 2"/>
              <a:gd name="T8" fmla="*/ 107 w 137"/>
              <a:gd name="T9" fmla="*/ 0 h 2"/>
              <a:gd name="T10" fmla="*/ 137 w 137"/>
              <a:gd name="T11" fmla="*/ 0 h 2"/>
              <a:gd name="T12" fmla="*/ 0 60000 65536"/>
              <a:gd name="T13" fmla="*/ 0 60000 65536"/>
              <a:gd name="T14" fmla="*/ 0 60000 65536"/>
              <a:gd name="T15" fmla="*/ 0 60000 65536"/>
              <a:gd name="T16" fmla="*/ 0 60000 65536"/>
              <a:gd name="T17" fmla="*/ 0 60000 65536"/>
            </a:gdLst>
            <a:ahLst/>
            <a:cxnLst>
              <a:cxn ang="T12">
                <a:pos x="T0" y="T1"/>
              </a:cxn>
              <a:cxn ang="T13">
                <a:pos x="T2" y="T3"/>
              </a:cxn>
              <a:cxn ang="T14">
                <a:pos x="T4" y="T5"/>
              </a:cxn>
              <a:cxn ang="T15">
                <a:pos x="T6" y="T7"/>
              </a:cxn>
              <a:cxn ang="T16">
                <a:pos x="T8" y="T9"/>
              </a:cxn>
              <a:cxn ang="T17">
                <a:pos x="T10" y="T11"/>
              </a:cxn>
            </a:cxnLst>
            <a:rect l="0" t="0" r="r" b="b"/>
            <a:pathLst>
              <a:path w="137" h="2">
                <a:moveTo>
                  <a:pt x="0" y="0"/>
                </a:moveTo>
                <a:lnTo>
                  <a:pt x="31" y="0"/>
                </a:lnTo>
                <a:lnTo>
                  <a:pt x="31" y="2"/>
                </a:lnTo>
                <a:lnTo>
                  <a:pt x="107" y="2"/>
                </a:lnTo>
                <a:lnTo>
                  <a:pt x="107" y="0"/>
                </a:lnTo>
                <a:lnTo>
                  <a:pt x="137" y="0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M47">
        <xdr:nvSpPr>
          <xdr:cNvPr id="30" name="Text Box 8543">
            <a:extLst>
              <a:ext uri="{FF2B5EF4-FFF2-40B4-BE49-F238E27FC236}">
                <a16:creationId xmlns:a16="http://schemas.microsoft.com/office/drawing/2014/main" id="{226C6087-5C2E-D3D4-0C99-7786C467DC9C}"/>
              </a:ext>
            </a:extLst>
          </xdr:cNvPr>
          <xdr:cNvSpPr txBox="1">
            <a:spLocks noChangeArrowheads="1" noTextEdit="1"/>
          </xdr:cNvSpPr>
        </xdr:nvSpPr>
        <xdr:spPr bwMode="auto">
          <a:xfrm>
            <a:off x="637" y="72654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r>
              <a:rPr lang="en-GB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{A}	</a:t>
            </a:r>
          </a:p>
        </xdr:txBody>
      </xdr:sp>
      <xdr:sp macro="" textlink="N47">
        <xdr:nvSpPr>
          <xdr:cNvPr id="31" name="Text Box 8544">
            <a:extLst>
              <a:ext uri="{FF2B5EF4-FFF2-40B4-BE49-F238E27FC236}">
                <a16:creationId xmlns:a16="http://schemas.microsoft.com/office/drawing/2014/main" id="{471A6C67-FF5C-3364-7E05-961771C00057}"/>
              </a:ext>
            </a:extLst>
          </xdr:cNvPr>
          <xdr:cNvSpPr txBox="1">
            <a:spLocks noChangeArrowheads="1" noTextEdit="1"/>
          </xdr:cNvSpPr>
        </xdr:nvSpPr>
        <xdr:spPr bwMode="auto">
          <a:xfrm>
            <a:off x="680" y="72654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r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{B}</a:t>
            </a:r>
            <a:endParaRPr lang="en-GB" sz="10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endParaRPr>
          </a:p>
        </xdr:txBody>
      </xdr:sp>
      <xdr:sp macro="" textlink="O47">
        <xdr:nvSpPr>
          <xdr:cNvPr id="32" name="Text Box 8545">
            <a:extLst>
              <a:ext uri="{FF2B5EF4-FFF2-40B4-BE49-F238E27FC236}">
                <a16:creationId xmlns:a16="http://schemas.microsoft.com/office/drawing/2014/main" id="{452DE809-0FB8-7704-007B-2A8BC5EA17F9}"/>
              </a:ext>
            </a:extLst>
          </xdr:cNvPr>
          <xdr:cNvSpPr txBox="1">
            <a:spLocks noChangeArrowheads="1" noTextEdit="1"/>
          </xdr:cNvSpPr>
        </xdr:nvSpPr>
        <xdr:spPr bwMode="auto">
          <a:xfrm>
            <a:off x="760" y="72654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r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{C}</a:t>
            </a:r>
            <a:endParaRPr lang="en-GB" sz="10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endParaRPr>
          </a:p>
        </xdr:txBody>
      </xdr:sp>
      <xdr:sp macro="" textlink="">
        <xdr:nvSpPr>
          <xdr:cNvPr id="33" name="Text Box 8546">
            <a:extLst>
              <a:ext uri="{FF2B5EF4-FFF2-40B4-BE49-F238E27FC236}">
                <a16:creationId xmlns:a16="http://schemas.microsoft.com/office/drawing/2014/main" id="{FAD86926-E717-C21A-B928-2921F5E4B733}"/>
              </a:ext>
            </a:extLst>
          </xdr:cNvPr>
          <xdr:cNvSpPr txBox="1">
            <a:spLocks noChangeArrowheads="1"/>
          </xdr:cNvSpPr>
        </xdr:nvSpPr>
        <xdr:spPr bwMode="auto">
          <a:xfrm>
            <a:off x="605" y="72654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r>
              <a:rPr lang="en-GB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Lap=</a:t>
            </a:r>
          </a:p>
        </xdr:txBody>
      </xdr:sp>
      <xdr:sp macro="" textlink="">
        <xdr:nvSpPr>
          <xdr:cNvPr id="34" name="Text Box 8548">
            <a:extLst>
              <a:ext uri="{FF2B5EF4-FFF2-40B4-BE49-F238E27FC236}">
                <a16:creationId xmlns:a16="http://schemas.microsoft.com/office/drawing/2014/main" id="{C3658C93-AB08-FF97-C69F-3856ED6136A0}"/>
              </a:ext>
            </a:extLst>
          </xdr:cNvPr>
          <xdr:cNvSpPr txBox="1">
            <a:spLocks noChangeArrowheads="1"/>
          </xdr:cNvSpPr>
        </xdr:nvSpPr>
        <xdr:spPr bwMode="auto">
          <a:xfrm>
            <a:off x="711" y="72654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r>
              <a:rPr lang="en-GB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Lap=</a:t>
            </a:r>
          </a:p>
        </xdr:txBody>
      </xdr:sp>
    </xdr:grpSp>
    <xdr:clientData/>
  </xdr:twoCellAnchor>
  <xdr:twoCellAnchor>
    <xdr:from>
      <xdr:col>2</xdr:col>
      <xdr:colOff>35114</xdr:colOff>
      <xdr:row>26</xdr:row>
      <xdr:rowOff>122904</xdr:rowOff>
    </xdr:from>
    <xdr:to>
      <xdr:col>2</xdr:col>
      <xdr:colOff>1197164</xdr:colOff>
      <xdr:row>28</xdr:row>
      <xdr:rowOff>35467</xdr:rowOff>
    </xdr:to>
    <xdr:grpSp>
      <xdr:nvGrpSpPr>
        <xdr:cNvPr id="35" name="111">
          <a:extLst>
            <a:ext uri="{FF2B5EF4-FFF2-40B4-BE49-F238E27FC236}">
              <a16:creationId xmlns:a16="http://schemas.microsoft.com/office/drawing/2014/main" id="{46E1C267-C8FD-4805-B479-3DCD39AFCB1C}"/>
            </a:ext>
          </a:extLst>
        </xdr:cNvPr>
        <xdr:cNvGrpSpPr>
          <a:grpSpLocks/>
        </xdr:cNvGrpSpPr>
      </xdr:nvGrpSpPr>
      <xdr:grpSpPr bwMode="auto">
        <a:xfrm>
          <a:off x="1255114" y="5337904"/>
          <a:ext cx="1162050" cy="232563"/>
          <a:chOff x="545" y="97"/>
          <a:chExt cx="122" cy="24"/>
        </a:xfrm>
      </xdr:grpSpPr>
      <xdr:sp macro="" textlink="">
        <xdr:nvSpPr>
          <xdr:cNvPr id="36" name="Freeform 5">
            <a:extLst>
              <a:ext uri="{FF2B5EF4-FFF2-40B4-BE49-F238E27FC236}">
                <a16:creationId xmlns:a16="http://schemas.microsoft.com/office/drawing/2014/main" id="{9DBD8CD7-5F69-DB83-4055-2D96C462D7F5}"/>
              </a:ext>
            </a:extLst>
          </xdr:cNvPr>
          <xdr:cNvSpPr>
            <a:spLocks/>
          </xdr:cNvSpPr>
        </xdr:nvSpPr>
        <xdr:spPr bwMode="auto">
          <a:xfrm>
            <a:off x="598" y="97"/>
            <a:ext cx="69" cy="22"/>
          </a:xfrm>
          <a:custGeom>
            <a:avLst/>
            <a:gdLst>
              <a:gd name="T0" fmla="*/ 0 w 69"/>
              <a:gd name="T1" fmla="*/ 0 h 22"/>
              <a:gd name="T2" fmla="*/ 0 w 69"/>
              <a:gd name="T3" fmla="*/ 19 h 22"/>
              <a:gd name="T4" fmla="*/ 2 w 69"/>
              <a:gd name="T5" fmla="*/ 22 h 22"/>
              <a:gd name="T6" fmla="*/ 69 w 69"/>
              <a:gd name="T7" fmla="*/ 22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69" h="22">
                <a:moveTo>
                  <a:pt x="0" y="0"/>
                </a:moveTo>
                <a:cubicBezTo>
                  <a:pt x="0" y="0"/>
                  <a:pt x="0" y="9"/>
                  <a:pt x="0" y="19"/>
                </a:cubicBezTo>
                <a:cubicBezTo>
                  <a:pt x="0" y="22"/>
                  <a:pt x="2" y="22"/>
                  <a:pt x="2" y="22"/>
                </a:cubicBezTo>
                <a:lnTo>
                  <a:pt x="69" y="22"/>
                </a:lnTo>
              </a:path>
            </a:pathLst>
          </a:custGeom>
          <a:noFill/>
          <a:ln w="12700" cap="flat" cmpd="sng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M142">
        <xdr:nvSpPr>
          <xdr:cNvPr id="37" name="Text Box 6">
            <a:extLst>
              <a:ext uri="{FF2B5EF4-FFF2-40B4-BE49-F238E27FC236}">
                <a16:creationId xmlns:a16="http://schemas.microsoft.com/office/drawing/2014/main" id="{1B7A6E7C-C519-3C64-3FB2-20EDBC9925EB}"/>
              </a:ext>
            </a:extLst>
          </xdr:cNvPr>
          <xdr:cNvSpPr txBox="1">
            <a:spLocks noChangeArrowheads="1" noTextEdit="1"/>
          </xdr:cNvSpPr>
        </xdr:nvSpPr>
        <xdr:spPr bwMode="auto">
          <a:xfrm>
            <a:off x="545" y="102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r>
              <a:rPr lang="en-US" sz="1000" b="0" i="0" u="none" strike="noStrike" baseline="0">
                <a:solidFill>
                  <a:srgbClr val="000000"/>
                </a:solidFill>
                <a:latin typeface="Arial"/>
                <a:ea typeface="Tahoma"/>
                <a:cs typeface="Arial"/>
              </a:rPr>
              <a:t>{A}</a:t>
            </a:r>
            <a:fld id="{F39921A4-3E8D-41D4-9475-907BD5113AE9}" type="TxLink">
              <a:rPr lang="en-US" sz="1000" b="0" i="0" u="none" strike="noStrike" baseline="0">
                <a:solidFill>
                  <a:srgbClr val="000000"/>
                </a:solidFill>
                <a:latin typeface="Arial"/>
                <a:ea typeface="Tahoma"/>
                <a:cs typeface="Arial"/>
              </a:rPr>
              <a:pPr algn="r" rtl="0">
                <a:defRPr sz="1000"/>
              </a:pPr>
              <a:t> </a:t>
            </a:fld>
            <a:endParaRPr lang="en-IN" sz="10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endParaRPr>
          </a:p>
        </xdr:txBody>
      </xdr:sp>
      <xdr:sp macro="" textlink="N142">
        <xdr:nvSpPr>
          <xdr:cNvPr id="38" name="Text Box 7">
            <a:extLst>
              <a:ext uri="{FF2B5EF4-FFF2-40B4-BE49-F238E27FC236}">
                <a16:creationId xmlns:a16="http://schemas.microsoft.com/office/drawing/2014/main" id="{4C7D2179-F9FF-F40A-43AF-FC436FE71552}"/>
              </a:ext>
            </a:extLst>
          </xdr:cNvPr>
          <xdr:cNvSpPr txBox="1">
            <a:spLocks noChangeArrowheads="1" noTextEdit="1"/>
          </xdr:cNvSpPr>
        </xdr:nvSpPr>
        <xdr:spPr bwMode="auto">
          <a:xfrm>
            <a:off x="609" y="102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r>
              <a:rPr lang="en-US" sz="1000" b="0" i="0" u="none" strike="noStrike" baseline="0">
                <a:solidFill>
                  <a:srgbClr val="000000"/>
                </a:solidFill>
                <a:latin typeface="Arial"/>
                <a:ea typeface="Tahoma"/>
                <a:cs typeface="Arial"/>
              </a:rPr>
              <a:t>{B}</a:t>
            </a:r>
            <a:fld id="{B97C7B1E-C274-4F51-92D7-C2024B84E720}" type="TxLink">
              <a:rPr lang="en-US" sz="1000" b="0" i="0" u="none" strike="noStrike" baseline="0">
                <a:solidFill>
                  <a:srgbClr val="000000"/>
                </a:solidFill>
                <a:latin typeface="Arial"/>
                <a:ea typeface="Tahoma"/>
                <a:cs typeface="Arial"/>
              </a:rPr>
              <a:pPr algn="ctr" rtl="0">
                <a:defRPr sz="1000"/>
              </a:pPr>
              <a:t> </a:t>
            </a:fld>
            <a:endParaRPr lang="en-IN" sz="10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endParaRPr>
          </a:p>
        </xdr:txBody>
      </xdr:sp>
    </xdr:grpSp>
    <xdr:clientData/>
  </xdr:twoCellAnchor>
  <xdr:twoCellAnchor>
    <xdr:from>
      <xdr:col>1</xdr:col>
      <xdr:colOff>541359</xdr:colOff>
      <xdr:row>30</xdr:row>
      <xdr:rowOff>14631</xdr:rowOff>
    </xdr:from>
    <xdr:to>
      <xdr:col>3</xdr:col>
      <xdr:colOff>166446</xdr:colOff>
      <xdr:row>33</xdr:row>
      <xdr:rowOff>140651</xdr:rowOff>
    </xdr:to>
    <xdr:grpSp>
      <xdr:nvGrpSpPr>
        <xdr:cNvPr id="39" name="210">
          <a:extLst>
            <a:ext uri="{FF2B5EF4-FFF2-40B4-BE49-F238E27FC236}">
              <a16:creationId xmlns:a16="http://schemas.microsoft.com/office/drawing/2014/main" id="{E51B6CFB-C0E0-4ADD-9E61-108D634E8950}"/>
            </a:ext>
          </a:extLst>
        </xdr:cNvPr>
        <xdr:cNvGrpSpPr>
          <a:grpSpLocks/>
        </xdr:cNvGrpSpPr>
      </xdr:nvGrpSpPr>
      <xdr:grpSpPr bwMode="auto">
        <a:xfrm>
          <a:off x="1151359" y="5869631"/>
          <a:ext cx="1675087" cy="606020"/>
          <a:chOff x="528" y="1168"/>
          <a:chExt cx="176" cy="63"/>
        </a:xfrm>
      </xdr:grpSpPr>
      <xdr:sp macro="" textlink="M178">
        <xdr:nvSpPr>
          <xdr:cNvPr id="40" name="Text Box 303">
            <a:extLst>
              <a:ext uri="{FF2B5EF4-FFF2-40B4-BE49-F238E27FC236}">
                <a16:creationId xmlns:a16="http://schemas.microsoft.com/office/drawing/2014/main" id="{0E08514D-B404-C752-17C1-22541F15348B}"/>
              </a:ext>
            </a:extLst>
          </xdr:cNvPr>
          <xdr:cNvSpPr txBox="1">
            <a:spLocks noChangeArrowheads="1" noTextEdit="1"/>
          </xdr:cNvSpPr>
        </xdr:nvSpPr>
        <xdr:spPr bwMode="auto">
          <a:xfrm>
            <a:off x="536" y="1175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r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{A}</a:t>
            </a:r>
            <a:endParaRPr lang="en-IN" sz="10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endParaRPr>
          </a:p>
        </xdr:txBody>
      </xdr:sp>
      <xdr:sp macro="" textlink="N178">
        <xdr:nvSpPr>
          <xdr:cNvPr id="41" name="Text Box 304">
            <a:extLst>
              <a:ext uri="{FF2B5EF4-FFF2-40B4-BE49-F238E27FC236}">
                <a16:creationId xmlns:a16="http://schemas.microsoft.com/office/drawing/2014/main" id="{E5F3CF53-DDAF-8381-E538-817186D8896F}"/>
              </a:ext>
            </a:extLst>
          </xdr:cNvPr>
          <xdr:cNvSpPr txBox="1">
            <a:spLocks noChangeArrowheads="1" noTextEdit="1"/>
          </xdr:cNvSpPr>
        </xdr:nvSpPr>
        <xdr:spPr bwMode="auto">
          <a:xfrm>
            <a:off x="592" y="1212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r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{B}</a:t>
            </a:r>
            <a:endParaRPr lang="en-IN" sz="10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endParaRPr>
          </a:p>
        </xdr:txBody>
      </xdr:sp>
      <xdr:sp macro="" textlink="O178">
        <xdr:nvSpPr>
          <xdr:cNvPr id="42" name="Text Box 305">
            <a:extLst>
              <a:ext uri="{FF2B5EF4-FFF2-40B4-BE49-F238E27FC236}">
                <a16:creationId xmlns:a16="http://schemas.microsoft.com/office/drawing/2014/main" id="{39B0BE77-843F-D81D-6AAB-42C0A29ABDE7}"/>
              </a:ext>
            </a:extLst>
          </xdr:cNvPr>
          <xdr:cNvSpPr txBox="1">
            <a:spLocks noChangeArrowheads="1" noTextEdit="1"/>
          </xdr:cNvSpPr>
        </xdr:nvSpPr>
        <xdr:spPr bwMode="auto">
          <a:xfrm>
            <a:off x="655" y="1181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rtl="0"/>
            <a:r>
              <a:rPr lang="en-US" sz="1100" b="0" i="0" baseline="0">
                <a:effectLst/>
                <a:latin typeface="+mn-lt"/>
                <a:ea typeface="+mn-ea"/>
                <a:cs typeface="+mn-cs"/>
              </a:rPr>
              <a:t>{C}</a:t>
            </a:r>
            <a:endParaRPr lang="en-IN" sz="1000">
              <a:effectLst/>
            </a:endParaRPr>
          </a:p>
        </xdr:txBody>
      </xdr:sp>
      <xdr:sp macro="" textlink="P178">
        <xdr:nvSpPr>
          <xdr:cNvPr id="43" name="Text Box 306">
            <a:extLst>
              <a:ext uri="{FF2B5EF4-FFF2-40B4-BE49-F238E27FC236}">
                <a16:creationId xmlns:a16="http://schemas.microsoft.com/office/drawing/2014/main" id="{EA7D6DCD-A3D8-337B-F435-41D62FFF818A}"/>
              </a:ext>
            </a:extLst>
          </xdr:cNvPr>
          <xdr:cNvSpPr txBox="1">
            <a:spLocks noChangeArrowheads="1" noTextEdit="1"/>
          </xdr:cNvSpPr>
        </xdr:nvSpPr>
        <xdr:spPr bwMode="auto">
          <a:xfrm>
            <a:off x="528" y="1173"/>
            <a:ext cx="19" cy="4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vert="vert270" wrap="square" lIns="0" tIns="0" rIns="0" bIns="0" anchor="ctr" upright="1"/>
          <a:lstStyle/>
          <a:p>
            <a:pPr algn="ctr" rtl="0">
              <a:defRPr sz="1000"/>
            </a:pPr>
            <a:fld id="{A2B7D7F1-8BAE-49F4-B8C4-891079BE8596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 </a:t>
            </a:fld>
            <a:endParaRPr lang="en-IN" sz="10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endParaRPr>
          </a:p>
        </xdr:txBody>
      </xdr:sp>
      <xdr:sp macro="" textlink="">
        <xdr:nvSpPr>
          <xdr:cNvPr id="44" name="Freeform 307">
            <a:extLst>
              <a:ext uri="{FF2B5EF4-FFF2-40B4-BE49-F238E27FC236}">
                <a16:creationId xmlns:a16="http://schemas.microsoft.com/office/drawing/2014/main" id="{9F0EBE10-6C03-0C7F-812B-007027D86007}"/>
              </a:ext>
            </a:extLst>
          </xdr:cNvPr>
          <xdr:cNvSpPr>
            <a:spLocks/>
          </xdr:cNvSpPr>
        </xdr:nvSpPr>
        <xdr:spPr bwMode="auto">
          <a:xfrm>
            <a:off x="582" y="1173"/>
            <a:ext cx="69" cy="39"/>
          </a:xfrm>
          <a:custGeom>
            <a:avLst/>
            <a:gdLst>
              <a:gd name="T0" fmla="*/ 24 w 69"/>
              <a:gd name="T1" fmla="*/ 1 h 39"/>
              <a:gd name="T2" fmla="*/ 3 w 69"/>
              <a:gd name="T3" fmla="*/ 35 h 39"/>
              <a:gd name="T4" fmla="*/ 5 w 69"/>
              <a:gd name="T5" fmla="*/ 39 h 39"/>
              <a:gd name="T6" fmla="*/ 66 w 69"/>
              <a:gd name="T7" fmla="*/ 39 h 39"/>
              <a:gd name="T8" fmla="*/ 69 w 69"/>
              <a:gd name="T9" fmla="*/ 36 h 39"/>
              <a:gd name="T10" fmla="*/ 69 w 69"/>
              <a:gd name="T11" fmla="*/ 0 h 3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69" h="39">
                <a:moveTo>
                  <a:pt x="24" y="1"/>
                </a:moveTo>
                <a:cubicBezTo>
                  <a:pt x="24" y="1"/>
                  <a:pt x="13" y="18"/>
                  <a:pt x="3" y="35"/>
                </a:cubicBezTo>
                <a:cubicBezTo>
                  <a:pt x="0" y="39"/>
                  <a:pt x="5" y="39"/>
                  <a:pt x="5" y="39"/>
                </a:cubicBezTo>
                <a:lnTo>
                  <a:pt x="66" y="39"/>
                </a:lnTo>
                <a:cubicBezTo>
                  <a:pt x="66" y="39"/>
                  <a:pt x="69" y="39"/>
                  <a:pt x="69" y="36"/>
                </a:cubicBezTo>
                <a:cubicBezTo>
                  <a:pt x="69" y="18"/>
                  <a:pt x="69" y="0"/>
                  <a:pt x="69" y="0"/>
                </a:cubicBezTo>
              </a:path>
            </a:pathLst>
          </a:custGeom>
          <a:noFill/>
          <a:ln w="12700" cap="flat" cmpd="sng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45" name="Freeform 308">
            <a:extLst>
              <a:ext uri="{FF2B5EF4-FFF2-40B4-BE49-F238E27FC236}">
                <a16:creationId xmlns:a16="http://schemas.microsoft.com/office/drawing/2014/main" id="{964A3E5C-1825-1809-2BAB-B9AA1A4E28EC}"/>
              </a:ext>
            </a:extLst>
          </xdr:cNvPr>
          <xdr:cNvSpPr>
            <a:spLocks/>
          </xdr:cNvSpPr>
        </xdr:nvSpPr>
        <xdr:spPr bwMode="auto">
          <a:xfrm rot="1895284">
            <a:off x="586" y="1168"/>
            <a:ext cx="5" cy="43"/>
          </a:xfrm>
          <a:custGeom>
            <a:avLst/>
            <a:gdLst>
              <a:gd name="T0" fmla="*/ 0 w 9"/>
              <a:gd name="T1" fmla="*/ 0 h 41"/>
              <a:gd name="T2" fmla="*/ 9 w 9"/>
              <a:gd name="T3" fmla="*/ 0 h 41"/>
              <a:gd name="T4" fmla="*/ 0 w 9"/>
              <a:gd name="T5" fmla="*/ 0 h 41"/>
              <a:gd name="T6" fmla="*/ 0 w 9"/>
              <a:gd name="T7" fmla="*/ 41 h 41"/>
              <a:gd name="T8" fmla="*/ 9 w 9"/>
              <a:gd name="T9" fmla="*/ 41 h 41"/>
              <a:gd name="T10" fmla="*/ 0 w 9"/>
              <a:gd name="T11" fmla="*/ 41 h 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9" h="41">
                <a:moveTo>
                  <a:pt x="0" y="0"/>
                </a:moveTo>
                <a:lnTo>
                  <a:pt x="9" y="0"/>
                </a:lnTo>
                <a:lnTo>
                  <a:pt x="0" y="0"/>
                </a:lnTo>
                <a:lnTo>
                  <a:pt x="0" y="41"/>
                </a:lnTo>
                <a:lnTo>
                  <a:pt x="9" y="41"/>
                </a:lnTo>
                <a:lnTo>
                  <a:pt x="0" y="41"/>
                </a:lnTo>
              </a:path>
            </a:pathLst>
          </a:custGeom>
          <a:noFill/>
          <a:ln w="3175" cap="flat" cmpd="sng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46" name="Freeform 309">
            <a:extLst>
              <a:ext uri="{FF2B5EF4-FFF2-40B4-BE49-F238E27FC236}">
                <a16:creationId xmlns:a16="http://schemas.microsoft.com/office/drawing/2014/main" id="{EF2E12E3-E057-D3F7-41F3-E0245D8FCFBD}"/>
              </a:ext>
            </a:extLst>
          </xdr:cNvPr>
          <xdr:cNvSpPr>
            <a:spLocks/>
          </xdr:cNvSpPr>
        </xdr:nvSpPr>
        <xdr:spPr bwMode="auto">
          <a:xfrm>
            <a:off x="545" y="1174"/>
            <a:ext cx="53" cy="39"/>
          </a:xfrm>
          <a:custGeom>
            <a:avLst/>
            <a:gdLst>
              <a:gd name="T0" fmla="*/ 0 w 53"/>
              <a:gd name="T1" fmla="*/ 0 h 41"/>
              <a:gd name="T2" fmla="*/ 53 w 53"/>
              <a:gd name="T3" fmla="*/ 0 h 41"/>
              <a:gd name="T4" fmla="*/ 0 w 53"/>
              <a:gd name="T5" fmla="*/ 0 h 41"/>
              <a:gd name="T6" fmla="*/ 0 w 53"/>
              <a:gd name="T7" fmla="*/ 41 h 41"/>
              <a:gd name="T8" fmla="*/ 33 w 53"/>
              <a:gd name="T9" fmla="*/ 41 h 41"/>
              <a:gd name="T10" fmla="*/ 0 w 53"/>
              <a:gd name="T11" fmla="*/ 41 h 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53" h="41">
                <a:moveTo>
                  <a:pt x="0" y="0"/>
                </a:moveTo>
                <a:lnTo>
                  <a:pt x="53" y="0"/>
                </a:lnTo>
                <a:lnTo>
                  <a:pt x="0" y="0"/>
                </a:lnTo>
                <a:lnTo>
                  <a:pt x="0" y="41"/>
                </a:lnTo>
                <a:lnTo>
                  <a:pt x="33" y="41"/>
                </a:lnTo>
                <a:lnTo>
                  <a:pt x="0" y="41"/>
                </a:lnTo>
              </a:path>
            </a:pathLst>
          </a:custGeom>
          <a:noFill/>
          <a:ln w="3175" cap="flat" cmpd="sng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2</xdr:col>
      <xdr:colOff>0</xdr:colOff>
      <xdr:row>36</xdr:row>
      <xdr:rowOff>61452</xdr:rowOff>
    </xdr:from>
    <xdr:to>
      <xdr:col>3</xdr:col>
      <xdr:colOff>167075</xdr:colOff>
      <xdr:row>38</xdr:row>
      <xdr:rowOff>22958</xdr:rowOff>
    </xdr:to>
    <xdr:grpSp>
      <xdr:nvGrpSpPr>
        <xdr:cNvPr id="47" name="200">
          <a:extLst>
            <a:ext uri="{FF2B5EF4-FFF2-40B4-BE49-F238E27FC236}">
              <a16:creationId xmlns:a16="http://schemas.microsoft.com/office/drawing/2014/main" id="{D7F4C627-15D2-4C10-AC36-94CA9BC8D8D0}"/>
            </a:ext>
          </a:extLst>
        </xdr:cNvPr>
        <xdr:cNvGrpSpPr>
          <a:grpSpLocks/>
        </xdr:cNvGrpSpPr>
      </xdr:nvGrpSpPr>
      <xdr:grpSpPr bwMode="auto">
        <a:xfrm>
          <a:off x="1220000" y="6876452"/>
          <a:ext cx="1607075" cy="281506"/>
          <a:chOff x="532" y="623"/>
          <a:chExt cx="169" cy="19"/>
        </a:xfrm>
      </xdr:grpSpPr>
      <xdr:sp macro="" textlink="">
        <xdr:nvSpPr>
          <xdr:cNvPr id="48" name="Freeform 9">
            <a:extLst>
              <a:ext uri="{FF2B5EF4-FFF2-40B4-BE49-F238E27FC236}">
                <a16:creationId xmlns:a16="http://schemas.microsoft.com/office/drawing/2014/main" id="{D80C7B46-8134-955F-C7A1-24D02B0191E3}"/>
              </a:ext>
            </a:extLst>
          </xdr:cNvPr>
          <xdr:cNvSpPr>
            <a:spLocks/>
          </xdr:cNvSpPr>
        </xdr:nvSpPr>
        <xdr:spPr bwMode="auto">
          <a:xfrm>
            <a:off x="585" y="624"/>
            <a:ext cx="63" cy="18"/>
          </a:xfrm>
          <a:custGeom>
            <a:avLst/>
            <a:gdLst>
              <a:gd name="T0" fmla="*/ 0 w 63"/>
              <a:gd name="T1" fmla="*/ 0 h 18"/>
              <a:gd name="T2" fmla="*/ 0 w 63"/>
              <a:gd name="T3" fmla="*/ 15 h 18"/>
              <a:gd name="T4" fmla="*/ 2 w 63"/>
              <a:gd name="T5" fmla="*/ 18 h 18"/>
              <a:gd name="T6" fmla="*/ 60 w 63"/>
              <a:gd name="T7" fmla="*/ 18 h 18"/>
              <a:gd name="T8" fmla="*/ 63 w 63"/>
              <a:gd name="T9" fmla="*/ 15 h 18"/>
              <a:gd name="T10" fmla="*/ 63 w 63"/>
              <a:gd name="T11" fmla="*/ 0 h 1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63" h="18">
                <a:moveTo>
                  <a:pt x="0" y="0"/>
                </a:moveTo>
                <a:cubicBezTo>
                  <a:pt x="0" y="2"/>
                  <a:pt x="0" y="12"/>
                  <a:pt x="0" y="15"/>
                </a:cubicBezTo>
                <a:cubicBezTo>
                  <a:pt x="0" y="18"/>
                  <a:pt x="2" y="18"/>
                  <a:pt x="2" y="18"/>
                </a:cubicBezTo>
                <a:lnTo>
                  <a:pt x="60" y="18"/>
                </a:lnTo>
                <a:cubicBezTo>
                  <a:pt x="60" y="18"/>
                  <a:pt x="63" y="18"/>
                  <a:pt x="63" y="15"/>
                </a:cubicBezTo>
                <a:cubicBezTo>
                  <a:pt x="63" y="7"/>
                  <a:pt x="63" y="0"/>
                  <a:pt x="63" y="0"/>
                </a:cubicBezTo>
              </a:path>
            </a:pathLst>
          </a:custGeom>
          <a:noFill/>
          <a:ln w="12700" cap="flat" cmpd="sng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M39">
        <xdr:nvSpPr>
          <xdr:cNvPr id="49" name="Text Box 10">
            <a:extLst>
              <a:ext uri="{FF2B5EF4-FFF2-40B4-BE49-F238E27FC236}">
                <a16:creationId xmlns:a16="http://schemas.microsoft.com/office/drawing/2014/main" id="{AE6C191F-DFB5-1E1C-F49B-AB09CF5DAA1A}"/>
              </a:ext>
            </a:extLst>
          </xdr:cNvPr>
          <xdr:cNvSpPr txBox="1">
            <a:spLocks noChangeArrowheads="1" noTextEdit="1"/>
          </xdr:cNvSpPr>
        </xdr:nvSpPr>
        <xdr:spPr bwMode="auto">
          <a:xfrm>
            <a:off x="532" y="62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r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{A}</a:t>
            </a:r>
            <a:endParaRPr lang="en-IN" sz="10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endParaRPr>
          </a:p>
        </xdr:txBody>
      </xdr:sp>
      <xdr:sp macro="" textlink="N39">
        <xdr:nvSpPr>
          <xdr:cNvPr id="50" name="Text Box 11">
            <a:extLst>
              <a:ext uri="{FF2B5EF4-FFF2-40B4-BE49-F238E27FC236}">
                <a16:creationId xmlns:a16="http://schemas.microsoft.com/office/drawing/2014/main" id="{BEB3D5EC-2D8A-A05A-E80C-3743BE6F476F}"/>
              </a:ext>
            </a:extLst>
          </xdr:cNvPr>
          <xdr:cNvSpPr txBox="1">
            <a:spLocks noChangeArrowheads="1" noTextEdit="1"/>
          </xdr:cNvSpPr>
        </xdr:nvSpPr>
        <xdr:spPr bwMode="auto">
          <a:xfrm>
            <a:off x="592" y="62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r>
              <a:rPr lang="en-IN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{B}</a:t>
            </a:r>
          </a:p>
        </xdr:txBody>
      </xdr:sp>
      <xdr:sp macro="" textlink="O39">
        <xdr:nvSpPr>
          <xdr:cNvPr id="51" name="Text Box 12">
            <a:extLst>
              <a:ext uri="{FF2B5EF4-FFF2-40B4-BE49-F238E27FC236}">
                <a16:creationId xmlns:a16="http://schemas.microsoft.com/office/drawing/2014/main" id="{0BC79F7C-D963-13E5-A755-3E969949885F}"/>
              </a:ext>
            </a:extLst>
          </xdr:cNvPr>
          <xdr:cNvSpPr txBox="1">
            <a:spLocks noChangeArrowheads="1" noTextEdit="1"/>
          </xdr:cNvSpPr>
        </xdr:nvSpPr>
        <xdr:spPr bwMode="auto">
          <a:xfrm>
            <a:off x="652" y="62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r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{C}</a:t>
            </a:r>
            <a:endParaRPr lang="en-IN" sz="10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endParaRPr>
          </a:p>
        </xdr:txBody>
      </xdr:sp>
    </xdr:grpSp>
    <xdr:clientData/>
  </xdr:twoCellAnchor>
  <xdr:twoCellAnchor>
    <xdr:from>
      <xdr:col>1</xdr:col>
      <xdr:colOff>590000</xdr:colOff>
      <xdr:row>39</xdr:row>
      <xdr:rowOff>50000</xdr:rowOff>
    </xdr:from>
    <xdr:to>
      <xdr:col>3</xdr:col>
      <xdr:colOff>99450</xdr:colOff>
      <xdr:row>43</xdr:row>
      <xdr:rowOff>94201</xdr:rowOff>
    </xdr:to>
    <xdr:grpSp>
      <xdr:nvGrpSpPr>
        <xdr:cNvPr id="52" name="900">
          <a:extLst>
            <a:ext uri="{FF2B5EF4-FFF2-40B4-BE49-F238E27FC236}">
              <a16:creationId xmlns:a16="http://schemas.microsoft.com/office/drawing/2014/main" id="{79BC7657-02BF-4EA1-AE25-039528A6EE73}"/>
            </a:ext>
          </a:extLst>
        </xdr:cNvPr>
        <xdr:cNvGrpSpPr>
          <a:grpSpLocks/>
        </xdr:cNvGrpSpPr>
      </xdr:nvGrpSpPr>
      <xdr:grpSpPr bwMode="auto">
        <a:xfrm>
          <a:off x="1200000" y="7345000"/>
          <a:ext cx="1559450" cy="684201"/>
          <a:chOff x="520" y="32197"/>
          <a:chExt cx="164" cy="71"/>
        </a:xfrm>
      </xdr:grpSpPr>
      <xdr:sp macro="" textlink="">
        <xdr:nvSpPr>
          <xdr:cNvPr id="53" name="Freeform 39">
            <a:extLst>
              <a:ext uri="{FF2B5EF4-FFF2-40B4-BE49-F238E27FC236}">
                <a16:creationId xmlns:a16="http://schemas.microsoft.com/office/drawing/2014/main" id="{D615C9C9-ECF4-AACD-68A9-2B511194BF88}"/>
              </a:ext>
            </a:extLst>
          </xdr:cNvPr>
          <xdr:cNvSpPr>
            <a:spLocks/>
          </xdr:cNvSpPr>
        </xdr:nvSpPr>
        <xdr:spPr bwMode="auto">
          <a:xfrm>
            <a:off x="566" y="32212"/>
            <a:ext cx="80" cy="54"/>
          </a:xfrm>
          <a:custGeom>
            <a:avLst/>
            <a:gdLst>
              <a:gd name="T0" fmla="*/ 0 w 80"/>
              <a:gd name="T1" fmla="*/ 36 h 54"/>
              <a:gd name="T2" fmla="*/ 19 w 80"/>
              <a:gd name="T3" fmla="*/ 51 h 54"/>
              <a:gd name="T4" fmla="*/ 22 w 80"/>
              <a:gd name="T5" fmla="*/ 49 h 54"/>
              <a:gd name="T6" fmla="*/ 22 w 80"/>
              <a:gd name="T7" fmla="*/ 20 h 54"/>
              <a:gd name="T8" fmla="*/ 23 w 80"/>
              <a:gd name="T9" fmla="*/ 17 h 54"/>
              <a:gd name="T10" fmla="*/ 52 w 80"/>
              <a:gd name="T11" fmla="*/ 1 h 54"/>
              <a:gd name="T12" fmla="*/ 55 w 80"/>
              <a:gd name="T13" fmla="*/ 3 h 54"/>
              <a:gd name="T14" fmla="*/ 55 w 80"/>
              <a:gd name="T15" fmla="*/ 33 h 54"/>
              <a:gd name="T16" fmla="*/ 57 w 80"/>
              <a:gd name="T17" fmla="*/ 36 h 54"/>
              <a:gd name="T18" fmla="*/ 80 w 80"/>
              <a:gd name="T19" fmla="*/ 51 h 5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</a:cxnLst>
            <a:rect l="0" t="0" r="r" b="b"/>
            <a:pathLst>
              <a:path w="80" h="54">
                <a:moveTo>
                  <a:pt x="0" y="36"/>
                </a:moveTo>
                <a:lnTo>
                  <a:pt x="19" y="51"/>
                </a:lnTo>
                <a:cubicBezTo>
                  <a:pt x="19" y="51"/>
                  <a:pt x="22" y="54"/>
                  <a:pt x="22" y="49"/>
                </a:cubicBezTo>
                <a:lnTo>
                  <a:pt x="22" y="20"/>
                </a:lnTo>
                <a:cubicBezTo>
                  <a:pt x="22" y="20"/>
                  <a:pt x="22" y="18"/>
                  <a:pt x="23" y="17"/>
                </a:cubicBezTo>
                <a:lnTo>
                  <a:pt x="52" y="1"/>
                </a:lnTo>
                <a:cubicBezTo>
                  <a:pt x="55" y="0"/>
                  <a:pt x="55" y="3"/>
                  <a:pt x="55" y="3"/>
                </a:cubicBezTo>
                <a:lnTo>
                  <a:pt x="55" y="33"/>
                </a:lnTo>
                <a:cubicBezTo>
                  <a:pt x="55" y="35"/>
                  <a:pt x="57" y="36"/>
                  <a:pt x="57" y="36"/>
                </a:cubicBezTo>
                <a:lnTo>
                  <a:pt x="80" y="51"/>
                </a:lnTo>
              </a:path>
            </a:pathLst>
          </a:custGeom>
          <a:noFill/>
          <a:ln w="12700" cap="flat" cmpd="sng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  <xdr:sp macro="" textlink="M7">
        <xdr:nvSpPr>
          <xdr:cNvPr id="54" name="Text Box 40">
            <a:extLst>
              <a:ext uri="{FF2B5EF4-FFF2-40B4-BE49-F238E27FC236}">
                <a16:creationId xmlns:a16="http://schemas.microsoft.com/office/drawing/2014/main" id="{65E9A32B-E33E-3A24-9847-184F8D039E57}"/>
              </a:ext>
            </a:extLst>
          </xdr:cNvPr>
          <xdr:cNvSpPr txBox="1">
            <a:spLocks noChangeArrowheads="1" noTextEdit="1"/>
          </xdr:cNvSpPr>
        </xdr:nvSpPr>
        <xdr:spPr bwMode="auto">
          <a:xfrm>
            <a:off x="520" y="3224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r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{A}</a:t>
            </a:r>
            <a:endParaRPr lang="en-IN" sz="10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endParaRPr>
          </a:p>
        </xdr:txBody>
      </xdr:sp>
      <xdr:sp macro="" textlink="N7">
        <xdr:nvSpPr>
          <xdr:cNvPr id="55" name="Text Box 41">
            <a:extLst>
              <a:ext uri="{FF2B5EF4-FFF2-40B4-BE49-F238E27FC236}">
                <a16:creationId xmlns:a16="http://schemas.microsoft.com/office/drawing/2014/main" id="{BB8173D4-AA04-48F8-B09F-81A9147D6EB2}"/>
              </a:ext>
            </a:extLst>
          </xdr:cNvPr>
          <xdr:cNvSpPr txBox="1">
            <a:spLocks noChangeArrowheads="1" noTextEdit="1"/>
          </xdr:cNvSpPr>
        </xdr:nvSpPr>
        <xdr:spPr bwMode="auto">
          <a:xfrm>
            <a:off x="571" y="32202"/>
            <a:ext cx="19" cy="4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vert="vert270" wrap="square" lIns="0" tIns="0" rIns="0" bIns="0" anchor="ctr" upright="1"/>
          <a:lstStyle/>
          <a:p>
            <a:pPr algn="l" rtl="0">
              <a:defRPr sz="1000"/>
            </a:pPr>
            <a:r>
              <a:rPr lang="en-IN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{B}</a:t>
            </a:r>
          </a:p>
        </xdr:txBody>
      </xdr:sp>
      <xdr:sp macro="" textlink="O7">
        <xdr:nvSpPr>
          <xdr:cNvPr id="56" name="Text Box 42">
            <a:extLst>
              <a:ext uri="{FF2B5EF4-FFF2-40B4-BE49-F238E27FC236}">
                <a16:creationId xmlns:a16="http://schemas.microsoft.com/office/drawing/2014/main" id="{D6EBB9AB-34B3-CCCC-29CD-0C2AFFA71A4D}"/>
              </a:ext>
            </a:extLst>
          </xdr:cNvPr>
          <xdr:cNvSpPr txBox="1">
            <a:spLocks noChangeArrowheads="1" noTextEdit="1"/>
          </xdr:cNvSpPr>
        </xdr:nvSpPr>
        <xdr:spPr bwMode="auto">
          <a:xfrm>
            <a:off x="557" y="32204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r>
              <a:rPr lang="en-IN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{C}</a:t>
            </a:r>
          </a:p>
        </xdr:txBody>
      </xdr:sp>
      <xdr:sp macro="" textlink="P7">
        <xdr:nvSpPr>
          <xdr:cNvPr id="57" name="Text Box 43">
            <a:extLst>
              <a:ext uri="{FF2B5EF4-FFF2-40B4-BE49-F238E27FC236}">
                <a16:creationId xmlns:a16="http://schemas.microsoft.com/office/drawing/2014/main" id="{CDA89AF0-4E34-6E4D-EFA6-EC5C83B907C4}"/>
              </a:ext>
            </a:extLst>
          </xdr:cNvPr>
          <xdr:cNvSpPr txBox="1">
            <a:spLocks noChangeArrowheads="1" noTextEdit="1"/>
          </xdr:cNvSpPr>
        </xdr:nvSpPr>
        <xdr:spPr bwMode="auto">
          <a:xfrm>
            <a:off x="621" y="32197"/>
            <a:ext cx="19" cy="4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vert="vert270" wrap="square" lIns="0" tIns="0" rIns="0" bIns="0" anchor="ctr" upright="1"/>
          <a:lstStyle/>
          <a:p>
            <a:pPr algn="l" rtl="0">
              <a:defRPr sz="1000"/>
            </a:pPr>
            <a:r>
              <a:rPr lang="en-IN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{D}</a:t>
            </a:r>
          </a:p>
        </xdr:txBody>
      </xdr:sp>
      <xdr:sp macro="" textlink="Q7">
        <xdr:nvSpPr>
          <xdr:cNvPr id="58" name="Text Box 44">
            <a:extLst>
              <a:ext uri="{FF2B5EF4-FFF2-40B4-BE49-F238E27FC236}">
                <a16:creationId xmlns:a16="http://schemas.microsoft.com/office/drawing/2014/main" id="{7F131A7D-4E73-08A2-E162-2559A755E404}"/>
              </a:ext>
            </a:extLst>
          </xdr:cNvPr>
          <xdr:cNvSpPr txBox="1">
            <a:spLocks noChangeArrowheads="1" noTextEdit="1"/>
          </xdr:cNvSpPr>
        </xdr:nvSpPr>
        <xdr:spPr bwMode="auto">
          <a:xfrm>
            <a:off x="635" y="32241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r>
              <a:rPr lang="en-IN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{E}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129540</xdr:colOff>
      <xdr:row>1</xdr:row>
      <xdr:rowOff>68579</xdr:rowOff>
    </xdr:from>
    <xdr:to>
      <xdr:col>17</xdr:col>
      <xdr:colOff>350520</xdr:colOff>
      <xdr:row>7</xdr:row>
      <xdr:rowOff>73296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E832C06-E6F1-468F-ED04-9B09EDAAEF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06340" y="449579"/>
          <a:ext cx="5707380" cy="2290717"/>
        </a:xfrm>
        <a:prstGeom prst="rect">
          <a:avLst/>
        </a:prstGeom>
      </xdr:spPr>
    </xdr:pic>
    <xdr:clientData/>
  </xdr:twoCellAnchor>
  <xdr:twoCellAnchor editAs="oneCell">
    <xdr:from>
      <xdr:col>1</xdr:col>
      <xdr:colOff>434340</xdr:colOff>
      <xdr:row>3</xdr:row>
      <xdr:rowOff>342900</xdr:rowOff>
    </xdr:from>
    <xdr:to>
      <xdr:col>3</xdr:col>
      <xdr:colOff>121920</xdr:colOff>
      <xdr:row>5</xdr:row>
      <xdr:rowOff>53340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26C6DEA8-A9CB-D2B8-7144-C3E3CE46D6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3940" y="1485900"/>
          <a:ext cx="906780" cy="4724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12</xdr:col>
          <xdr:colOff>254000</xdr:colOff>
          <xdr:row>7</xdr:row>
          <xdr:rowOff>152400</xdr:rowOff>
        </xdr:to>
        <xdr:sp macro="" textlink="">
          <xdr:nvSpPr>
            <xdr:cNvPr id="2049" name="MacroDisabledInformati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1</xdr:col>
          <xdr:colOff>6350</xdr:colOff>
          <xdr:row>0</xdr:row>
          <xdr:rowOff>6350</xdr:rowOff>
        </xdr:to>
        <xdr:sp macro="" textlink="">
          <xdr:nvSpPr>
            <xdr:cNvPr id="2050" name="PrintOptionLabel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0</xdr:row>
          <xdr:rowOff>152400</xdr:rowOff>
        </xdr:from>
        <xdr:to>
          <xdr:col>1</xdr:col>
          <xdr:colOff>158750</xdr:colOff>
          <xdr:row>1</xdr:row>
          <xdr:rowOff>0</xdr:rowOff>
        </xdr:to>
        <xdr:sp macro="" textlink="">
          <xdr:nvSpPr>
            <xdr:cNvPr id="2051" name="BBSProgram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1</xdr:row>
          <xdr:rowOff>107950</xdr:rowOff>
        </xdr:from>
        <xdr:to>
          <xdr:col>1</xdr:col>
          <xdr:colOff>311150</xdr:colOff>
          <xdr:row>1</xdr:row>
          <xdr:rowOff>114300</xdr:rowOff>
        </xdr:to>
        <xdr:sp macro="" textlink="">
          <xdr:nvSpPr>
            <xdr:cNvPr id="2052" name="ProgramFileFullName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1</xdr:row>
          <xdr:rowOff>260350</xdr:rowOff>
        </xdr:from>
        <xdr:to>
          <xdr:col>1</xdr:col>
          <xdr:colOff>463550</xdr:colOff>
          <xdr:row>1</xdr:row>
          <xdr:rowOff>266700</xdr:rowOff>
        </xdr:to>
        <xdr:sp macro="" textlink="">
          <xdr:nvSpPr>
            <xdr:cNvPr id="2053" name="AutomaticallyOpenProgramFile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63500</xdr:colOff>
          <xdr:row>0</xdr:row>
          <xdr:rowOff>63500</xdr:rowOff>
        </xdr:from>
        <xdr:to>
          <xdr:col>0</xdr:col>
          <xdr:colOff>82550</xdr:colOff>
          <xdr:row>0</xdr:row>
          <xdr:rowOff>82550</xdr:rowOff>
        </xdr:to>
        <xdr:sp macro="" textlink="">
          <xdr:nvSpPr>
            <xdr:cNvPr id="2054" name="CodeColumn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3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6350</xdr:colOff>
          <xdr:row>0</xdr:row>
          <xdr:rowOff>6350</xdr:rowOff>
        </xdr:to>
        <xdr:sp macro="" textlink="">
          <xdr:nvSpPr>
            <xdr:cNvPr id="2055" name="LastRowOfSummary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3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469900</xdr:colOff>
          <xdr:row>0</xdr:row>
          <xdr:rowOff>0</xdr:rowOff>
        </xdr:from>
        <xdr:to>
          <xdr:col>18</xdr:col>
          <xdr:colOff>1517650</xdr:colOff>
          <xdr:row>1</xdr:row>
          <xdr:rowOff>184150</xdr:rowOff>
        </xdr:to>
        <xdr:sp macro="" textlink="">
          <xdr:nvSpPr>
            <xdr:cNvPr id="2056" name="PrintOptionInformer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3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10</xdr:row>
          <xdr:rowOff>76200</xdr:rowOff>
        </xdr:from>
        <xdr:to>
          <xdr:col>29</xdr:col>
          <xdr:colOff>482600</xdr:colOff>
          <xdr:row>20</xdr:row>
          <xdr:rowOff>330200</xdr:rowOff>
        </xdr:to>
        <xdr:sp macro="" textlink="">
          <xdr:nvSpPr>
            <xdr:cNvPr id="2057" name="Guidelines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3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114300</xdr:colOff>
          <xdr:row>8</xdr:row>
          <xdr:rowOff>114300</xdr:rowOff>
        </xdr:from>
        <xdr:to>
          <xdr:col>23</xdr:col>
          <xdr:colOff>127000</xdr:colOff>
          <xdr:row>9</xdr:row>
          <xdr:rowOff>50800</xdr:rowOff>
        </xdr:to>
        <xdr:sp macro="" textlink="">
          <xdr:nvSpPr>
            <xdr:cNvPr id="2058" name="SaveTemplete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3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107950</xdr:colOff>
          <xdr:row>7</xdr:row>
          <xdr:rowOff>279400</xdr:rowOff>
        </xdr:from>
        <xdr:to>
          <xdr:col>18</xdr:col>
          <xdr:colOff>1352550</xdr:colOff>
          <xdr:row>11</xdr:row>
          <xdr:rowOff>228600</xdr:rowOff>
        </xdr:to>
        <xdr:sp macro="" textlink="">
          <xdr:nvSpPr>
            <xdr:cNvPr id="2059" name="DoNotTypeInTemplate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3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609600</xdr:colOff>
          <xdr:row>2</xdr:row>
          <xdr:rowOff>0</xdr:rowOff>
        </xdr:from>
        <xdr:to>
          <xdr:col>1</xdr:col>
          <xdr:colOff>615950</xdr:colOff>
          <xdr:row>2</xdr:row>
          <xdr:rowOff>6350</xdr:rowOff>
        </xdr:to>
        <xdr:sp macro="" textlink="">
          <xdr:nvSpPr>
            <xdr:cNvPr id="2060" name="Capitalization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3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0</xdr:row>
          <xdr:rowOff>152400</xdr:rowOff>
        </xdr:from>
        <xdr:to>
          <xdr:col>0</xdr:col>
          <xdr:colOff>158750</xdr:colOff>
          <xdr:row>1</xdr:row>
          <xdr:rowOff>0</xdr:rowOff>
        </xdr:to>
        <xdr:sp macro="" textlink="">
          <xdr:nvSpPr>
            <xdr:cNvPr id="2061" name="Registered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3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25400</xdr:colOff>
          <xdr:row>0</xdr:row>
          <xdr:rowOff>0</xdr:rowOff>
        </xdr:from>
        <xdr:to>
          <xdr:col>21</xdr:col>
          <xdr:colOff>425450</xdr:colOff>
          <xdr:row>1</xdr:row>
          <xdr:rowOff>69850</xdr:rowOff>
        </xdr:to>
        <xdr:sp macro="" textlink="">
          <xdr:nvSpPr>
            <xdr:cNvPr id="2062" name="Open_OptionsForm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3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5.xml"/><Relationship Id="rId18" Type="http://schemas.openxmlformats.org/officeDocument/2006/relationships/image" Target="../media/image7.emf"/><Relationship Id="rId3" Type="http://schemas.openxmlformats.org/officeDocument/2006/relationships/vmlDrawing" Target="../drawings/vmlDrawing1.vml"/><Relationship Id="rId21" Type="http://schemas.openxmlformats.org/officeDocument/2006/relationships/control" Target="../activeX/activeX9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17" Type="http://schemas.openxmlformats.org/officeDocument/2006/relationships/control" Target="../activeX/activeX7.xml"/><Relationship Id="rId2" Type="http://schemas.openxmlformats.org/officeDocument/2006/relationships/drawing" Target="../drawings/drawing1.xml"/><Relationship Id="rId16" Type="http://schemas.openxmlformats.org/officeDocument/2006/relationships/image" Target="../media/image6.emf"/><Relationship Id="rId20" Type="http://schemas.openxmlformats.org/officeDocument/2006/relationships/image" Target="../media/image8.emf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5" Type="http://schemas.openxmlformats.org/officeDocument/2006/relationships/control" Target="../activeX/activeX6.xml"/><Relationship Id="rId10" Type="http://schemas.openxmlformats.org/officeDocument/2006/relationships/image" Target="../media/image3.emf"/><Relationship Id="rId19" Type="http://schemas.openxmlformats.org/officeDocument/2006/relationships/control" Target="../activeX/activeX8.xml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21.emf"/><Relationship Id="rId18" Type="http://schemas.openxmlformats.org/officeDocument/2006/relationships/control" Target="../activeX/activeX17.xml"/><Relationship Id="rId26" Type="http://schemas.openxmlformats.org/officeDocument/2006/relationships/control" Target="../activeX/activeX21.xml"/><Relationship Id="rId3" Type="http://schemas.openxmlformats.org/officeDocument/2006/relationships/vmlDrawing" Target="../drawings/vmlDrawing3.vml"/><Relationship Id="rId21" Type="http://schemas.openxmlformats.org/officeDocument/2006/relationships/image" Target="../media/image25.emf"/><Relationship Id="rId7" Type="http://schemas.openxmlformats.org/officeDocument/2006/relationships/image" Target="../media/image18.emf"/><Relationship Id="rId12" Type="http://schemas.openxmlformats.org/officeDocument/2006/relationships/control" Target="../activeX/activeX14.xml"/><Relationship Id="rId17" Type="http://schemas.openxmlformats.org/officeDocument/2006/relationships/image" Target="../media/image23.emf"/><Relationship Id="rId25" Type="http://schemas.openxmlformats.org/officeDocument/2006/relationships/image" Target="../media/image27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16.xml"/><Relationship Id="rId20" Type="http://schemas.openxmlformats.org/officeDocument/2006/relationships/control" Target="../activeX/activeX18.xml"/><Relationship Id="rId29" Type="http://schemas.openxmlformats.org/officeDocument/2006/relationships/image" Target="../media/image29.emf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1.xml"/><Relationship Id="rId11" Type="http://schemas.openxmlformats.org/officeDocument/2006/relationships/image" Target="../media/image20.emf"/><Relationship Id="rId24" Type="http://schemas.openxmlformats.org/officeDocument/2006/relationships/control" Target="../activeX/activeX20.xml"/><Relationship Id="rId5" Type="http://schemas.openxmlformats.org/officeDocument/2006/relationships/image" Target="../media/image17.emf"/><Relationship Id="rId15" Type="http://schemas.openxmlformats.org/officeDocument/2006/relationships/image" Target="../media/image22.emf"/><Relationship Id="rId23" Type="http://schemas.openxmlformats.org/officeDocument/2006/relationships/image" Target="../media/image26.emf"/><Relationship Id="rId28" Type="http://schemas.openxmlformats.org/officeDocument/2006/relationships/control" Target="../activeX/activeX22.xml"/><Relationship Id="rId10" Type="http://schemas.openxmlformats.org/officeDocument/2006/relationships/control" Target="../activeX/activeX13.xml"/><Relationship Id="rId19" Type="http://schemas.openxmlformats.org/officeDocument/2006/relationships/image" Target="../media/image24.emf"/><Relationship Id="rId31" Type="http://schemas.openxmlformats.org/officeDocument/2006/relationships/image" Target="../media/image30.emf"/><Relationship Id="rId4" Type="http://schemas.openxmlformats.org/officeDocument/2006/relationships/control" Target="../activeX/activeX10.xml"/><Relationship Id="rId9" Type="http://schemas.openxmlformats.org/officeDocument/2006/relationships/image" Target="../media/image19.emf"/><Relationship Id="rId14" Type="http://schemas.openxmlformats.org/officeDocument/2006/relationships/control" Target="../activeX/activeX15.xml"/><Relationship Id="rId22" Type="http://schemas.openxmlformats.org/officeDocument/2006/relationships/control" Target="../activeX/activeX19.xml"/><Relationship Id="rId27" Type="http://schemas.openxmlformats.org/officeDocument/2006/relationships/image" Target="../media/image28.emf"/><Relationship Id="rId30" Type="http://schemas.openxmlformats.org/officeDocument/2006/relationships/control" Target="../activeX/activeX2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8">
    <pageSetUpPr autoPageBreaks="0" fitToPage="1"/>
  </sheetPr>
  <dimension ref="A1:AT33"/>
  <sheetViews>
    <sheetView topLeftCell="C24" zoomScale="90" zoomScaleNormal="90" zoomScaleSheetLayoutView="70" zoomScalePageLayoutView="55" workbookViewId="0">
      <selection activeCell="N27" sqref="N27"/>
    </sheetView>
  </sheetViews>
  <sheetFormatPr defaultColWidth="9.1796875" defaultRowHeight="40" customHeight="1" x14ac:dyDescent="0.25"/>
  <cols>
    <col min="1" max="1" width="7.1796875" style="3" customWidth="1"/>
    <col min="2" max="2" width="7.81640625" style="27" customWidth="1"/>
    <col min="3" max="3" width="5" style="27" bestFit="1" customWidth="1"/>
    <col min="4" max="4" width="9.453125" style="27" customWidth="1"/>
    <col min="5" max="5" width="9.1796875" style="28" customWidth="1"/>
    <col min="6" max="6" width="29.6328125" style="27" customWidth="1"/>
    <col min="7" max="7" width="6" style="3" customWidth="1"/>
    <col min="8" max="9" width="7.1796875" style="27" customWidth="1"/>
    <col min="10" max="10" width="5.81640625" style="3" customWidth="1"/>
    <col min="11" max="11" width="8.1796875" style="27" customWidth="1"/>
    <col min="12" max="12" width="7.81640625" style="42" customWidth="1"/>
    <col min="13" max="13" width="10" style="27" customWidth="1"/>
    <col min="14" max="14" width="8.81640625" style="27" customWidth="1"/>
    <col min="15" max="15" width="11.1796875" style="27" customWidth="1"/>
    <col min="16" max="17" width="8" style="27" customWidth="1"/>
    <col min="18" max="18" width="5.1796875" style="27" hidden="1" customWidth="1"/>
    <col min="19" max="19" width="7.1796875" style="27" hidden="1" customWidth="1"/>
    <col min="20" max="22" width="5.1796875" style="27" hidden="1" customWidth="1"/>
    <col min="23" max="23" width="30.6328125" style="27" customWidth="1"/>
    <col min="24" max="24" width="3" style="27" hidden="1" customWidth="1"/>
    <col min="25" max="25" width="4.453125" style="27" hidden="1" customWidth="1"/>
    <col min="26" max="26" width="5.81640625" style="27" hidden="1" customWidth="1"/>
    <col min="27" max="27" width="11.54296875" style="27" bestFit="1" customWidth="1"/>
    <col min="28" max="28" width="10.1796875" style="27" customWidth="1"/>
    <col min="29" max="30" width="11.54296875" style="27" customWidth="1"/>
    <col min="31" max="32" width="11.453125" style="27" customWidth="1"/>
    <col min="33" max="33" width="9.54296875" style="27" customWidth="1"/>
    <col min="34" max="34" width="11" style="27" customWidth="1"/>
    <col min="35" max="45" width="16.81640625" style="27" customWidth="1"/>
    <col min="46" max="16384" width="9.1796875" style="27"/>
  </cols>
  <sheetData>
    <row r="1" spans="1:46" s="34" customFormat="1" ht="40" customHeight="1" x14ac:dyDescent="0.25">
      <c r="A1" s="103" t="s">
        <v>39</v>
      </c>
      <c r="B1" s="104"/>
      <c r="C1" s="104"/>
      <c r="D1" s="104"/>
      <c r="E1" s="104"/>
      <c r="F1" s="104"/>
      <c r="G1" s="104"/>
      <c r="H1" s="104"/>
      <c r="I1" s="104"/>
      <c r="J1" s="104"/>
      <c r="K1" s="104"/>
      <c r="L1" s="104"/>
      <c r="M1" s="104"/>
      <c r="N1" s="104"/>
      <c r="O1" s="104"/>
      <c r="P1" s="104"/>
      <c r="Q1" s="104"/>
      <c r="R1" s="104"/>
      <c r="S1" s="104"/>
      <c r="T1" s="104"/>
      <c r="U1" s="104"/>
      <c r="V1" s="104"/>
      <c r="W1" s="104"/>
      <c r="X1" s="104"/>
      <c r="Y1" s="104"/>
      <c r="Z1" s="104"/>
      <c r="AA1" s="104"/>
      <c r="AB1" s="104"/>
      <c r="AC1" s="104"/>
      <c r="AD1" s="104"/>
      <c r="AE1" s="104"/>
      <c r="AF1" s="104"/>
      <c r="AG1" s="104"/>
      <c r="AH1" s="105"/>
    </row>
    <row r="2" spans="1:46" s="35" customFormat="1" ht="40" customHeight="1" x14ac:dyDescent="0.25">
      <c r="A2" s="96" t="s">
        <v>40</v>
      </c>
      <c r="B2" s="97"/>
      <c r="C2" s="97"/>
      <c r="D2" s="97"/>
      <c r="E2" s="98">
        <v>1</v>
      </c>
      <c r="F2" s="98"/>
      <c r="G2" s="98"/>
      <c r="H2" s="98"/>
      <c r="I2" s="98"/>
      <c r="J2" s="98"/>
      <c r="K2" s="98"/>
      <c r="L2" s="98"/>
      <c r="M2" s="98"/>
      <c r="N2" s="98"/>
      <c r="O2" s="98"/>
      <c r="P2" s="98"/>
      <c r="Q2" s="99" t="s">
        <v>41</v>
      </c>
      <c r="R2" s="99"/>
      <c r="S2" s="99"/>
      <c r="T2" s="99"/>
      <c r="U2" s="99"/>
      <c r="V2" s="99"/>
      <c r="W2" s="99"/>
      <c r="X2" s="99"/>
      <c r="Y2" s="99"/>
      <c r="Z2" s="100" t="s">
        <v>82</v>
      </c>
      <c r="AA2" s="100"/>
      <c r="AB2" s="100"/>
      <c r="AC2" s="100"/>
      <c r="AD2" s="100"/>
      <c r="AE2" s="101" t="s">
        <v>42</v>
      </c>
      <c r="AF2" s="101"/>
      <c r="AG2" s="101"/>
      <c r="AH2" s="48" t="s">
        <v>60</v>
      </c>
    </row>
    <row r="3" spans="1:46" s="34" customFormat="1" ht="40" customHeight="1" x14ac:dyDescent="0.25">
      <c r="A3" s="96" t="s">
        <v>43</v>
      </c>
      <c r="B3" s="97"/>
      <c r="C3" s="97"/>
      <c r="D3" s="97"/>
      <c r="E3" s="98"/>
      <c r="F3" s="98"/>
      <c r="G3" s="98"/>
      <c r="H3" s="98"/>
      <c r="I3" s="98"/>
      <c r="J3" s="98"/>
      <c r="K3" s="98"/>
      <c r="L3" s="98"/>
      <c r="M3" s="98"/>
      <c r="N3" s="98"/>
      <c r="O3" s="98"/>
      <c r="P3" s="98"/>
      <c r="Q3" s="99" t="s">
        <v>44</v>
      </c>
      <c r="R3" s="99" t="s">
        <v>45</v>
      </c>
      <c r="S3" s="99"/>
      <c r="T3" s="99"/>
      <c r="U3" s="99"/>
      <c r="V3" s="99"/>
      <c r="W3" s="99"/>
      <c r="X3" s="99"/>
      <c r="Y3" s="99"/>
      <c r="Z3" s="100" t="s">
        <v>58</v>
      </c>
      <c r="AA3" s="100"/>
      <c r="AB3" s="100"/>
      <c r="AC3" s="100"/>
      <c r="AD3" s="100"/>
      <c r="AE3" s="101" t="s">
        <v>51</v>
      </c>
      <c r="AF3" s="101"/>
      <c r="AG3" s="101"/>
      <c r="AH3" s="49" t="s">
        <v>63</v>
      </c>
      <c r="AT3" s="33"/>
    </row>
    <row r="4" spans="1:46" s="34" customFormat="1" ht="40" customHeight="1" x14ac:dyDescent="0.25">
      <c r="A4" s="96" t="s">
        <v>46</v>
      </c>
      <c r="B4" s="97"/>
      <c r="C4" s="97"/>
      <c r="D4" s="97"/>
      <c r="E4" s="98" t="s">
        <v>83</v>
      </c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9" t="s">
        <v>47</v>
      </c>
      <c r="R4" s="99" t="s">
        <v>47</v>
      </c>
      <c r="S4" s="99"/>
      <c r="T4" s="99"/>
      <c r="U4" s="99"/>
      <c r="V4" s="99"/>
      <c r="W4" s="99"/>
      <c r="X4" s="99"/>
      <c r="Y4" s="99"/>
      <c r="Z4" s="100" t="s">
        <v>52</v>
      </c>
      <c r="AA4" s="100"/>
      <c r="AB4" s="100"/>
      <c r="AC4" s="100"/>
      <c r="AD4" s="100"/>
      <c r="AE4" s="101" t="s">
        <v>48</v>
      </c>
      <c r="AF4" s="101"/>
      <c r="AG4" s="101"/>
      <c r="AH4" s="48"/>
      <c r="AT4" s="33"/>
    </row>
    <row r="5" spans="1:46" s="34" customFormat="1" ht="40" customHeight="1" x14ac:dyDescent="0.3">
      <c r="A5" s="96"/>
      <c r="B5" s="97"/>
      <c r="C5" s="97"/>
      <c r="D5" s="97"/>
      <c r="E5" s="89"/>
      <c r="F5" s="89"/>
      <c r="G5" s="89"/>
      <c r="H5" s="89"/>
      <c r="I5" s="89"/>
      <c r="J5" s="89"/>
      <c r="K5" s="89"/>
      <c r="L5" s="90"/>
      <c r="M5" s="89"/>
      <c r="N5" s="89"/>
      <c r="O5" s="89"/>
      <c r="P5" s="89"/>
      <c r="Q5" s="99" t="s">
        <v>49</v>
      </c>
      <c r="R5" s="99" t="s">
        <v>49</v>
      </c>
      <c r="S5" s="99"/>
      <c r="T5" s="99"/>
      <c r="U5" s="99"/>
      <c r="V5" s="99"/>
      <c r="W5" s="99"/>
      <c r="X5" s="99"/>
      <c r="Y5" s="99"/>
      <c r="Z5" s="100" t="s">
        <v>59</v>
      </c>
      <c r="AA5" s="100"/>
      <c r="AB5" s="100"/>
      <c r="AC5" s="100"/>
      <c r="AD5" s="100"/>
      <c r="AE5" s="102" t="s">
        <v>50</v>
      </c>
      <c r="AF5" s="102"/>
      <c r="AG5" s="102"/>
      <c r="AH5" s="50"/>
      <c r="AT5" s="33"/>
    </row>
    <row r="6" spans="1:46" s="38" customFormat="1" ht="40" customHeight="1" x14ac:dyDescent="0.25">
      <c r="A6" s="51" t="s">
        <v>62</v>
      </c>
      <c r="B6" s="36" t="s">
        <v>1</v>
      </c>
      <c r="C6" s="36" t="s">
        <v>53</v>
      </c>
      <c r="D6" s="36" t="s">
        <v>54</v>
      </c>
      <c r="E6" s="36" t="s">
        <v>27</v>
      </c>
      <c r="F6" s="36" t="s">
        <v>2</v>
      </c>
      <c r="G6" s="36" t="s">
        <v>3</v>
      </c>
      <c r="H6" s="36" t="s">
        <v>4</v>
      </c>
      <c r="I6" s="36" t="s">
        <v>5</v>
      </c>
      <c r="J6" s="36" t="s">
        <v>23</v>
      </c>
      <c r="K6" s="36" t="s">
        <v>6</v>
      </c>
      <c r="L6" s="40" t="s">
        <v>7</v>
      </c>
      <c r="M6" s="36" t="s">
        <v>8</v>
      </c>
      <c r="N6" s="36" t="s">
        <v>9</v>
      </c>
      <c r="O6" s="36" t="s">
        <v>10</v>
      </c>
      <c r="P6" s="36" t="s">
        <v>11</v>
      </c>
      <c r="Q6" s="36" t="s">
        <v>12</v>
      </c>
      <c r="R6" s="36" t="s">
        <v>13</v>
      </c>
      <c r="S6" s="36" t="s">
        <v>14</v>
      </c>
      <c r="T6" s="36" t="s">
        <v>15</v>
      </c>
      <c r="U6" s="36" t="s">
        <v>24</v>
      </c>
      <c r="V6" s="36" t="s">
        <v>25</v>
      </c>
      <c r="W6" s="36" t="s">
        <v>16</v>
      </c>
      <c r="X6" s="36" t="s">
        <v>37</v>
      </c>
      <c r="Y6" s="36" t="s">
        <v>38</v>
      </c>
      <c r="Z6" s="36" t="s">
        <v>28</v>
      </c>
      <c r="AA6" s="37" t="s">
        <v>29</v>
      </c>
      <c r="AB6" s="37" t="s">
        <v>31</v>
      </c>
      <c r="AC6" s="37" t="s">
        <v>30</v>
      </c>
      <c r="AD6" s="37" t="s">
        <v>32</v>
      </c>
      <c r="AE6" s="37" t="s">
        <v>33</v>
      </c>
      <c r="AF6" s="37" t="s">
        <v>34</v>
      </c>
      <c r="AG6" s="37" t="s">
        <v>35</v>
      </c>
      <c r="AH6" s="52" t="s">
        <v>36</v>
      </c>
    </row>
    <row r="7" spans="1:46" s="33" customFormat="1" ht="40" customHeight="1" x14ac:dyDescent="0.25">
      <c r="A7" s="53"/>
      <c r="B7" s="36" t="s">
        <v>80</v>
      </c>
      <c r="C7" s="43"/>
      <c r="D7" s="43"/>
      <c r="E7" s="43"/>
      <c r="F7" s="43"/>
      <c r="G7" s="43"/>
      <c r="H7" s="43"/>
      <c r="I7" s="43"/>
      <c r="J7" s="43"/>
      <c r="K7" s="43"/>
      <c r="L7" s="41"/>
      <c r="M7" s="43"/>
      <c r="N7" s="29"/>
      <c r="O7" s="43"/>
      <c r="P7" s="43"/>
      <c r="Q7" s="43"/>
      <c r="R7" s="43"/>
      <c r="S7" s="43"/>
      <c r="T7" s="43"/>
      <c r="U7" s="43"/>
      <c r="V7" s="43"/>
      <c r="W7" s="47"/>
      <c r="X7" s="30"/>
      <c r="Y7" s="30"/>
      <c r="Z7" s="30"/>
      <c r="AA7" s="31" t="str">
        <f>+IF(G7="","",J7*K7)</f>
        <v/>
      </c>
      <c r="AB7" s="32" t="str">
        <f>IF(G7=8,J7*K7,"")</f>
        <v/>
      </c>
      <c r="AC7" s="32" t="str">
        <f>IF(G7=10,J7*K7,"")</f>
        <v/>
      </c>
      <c r="AD7" s="32" t="str">
        <f>IF(G7=12,J7*K7,"")</f>
        <v/>
      </c>
      <c r="AE7" s="32" t="str">
        <f>IF(G7=16,J7*K7,"")</f>
        <v/>
      </c>
      <c r="AF7" s="32" t="str">
        <f>IF(G7=20,J7*K7,"")</f>
        <v/>
      </c>
      <c r="AG7" s="32" t="str">
        <f>IF(G7=25,J7*K7,"")</f>
        <v/>
      </c>
      <c r="AH7" s="54" t="str">
        <f>IF(G7=32,J7*K7,"")</f>
        <v/>
      </c>
    </row>
    <row r="8" spans="1:46" s="33" customFormat="1" ht="40" customHeight="1" x14ac:dyDescent="0.25">
      <c r="A8" s="53">
        <v>1</v>
      </c>
      <c r="B8" s="43" t="s">
        <v>64</v>
      </c>
      <c r="C8" s="43"/>
      <c r="D8" s="43">
        <v>15050</v>
      </c>
      <c r="E8" s="43">
        <v>200</v>
      </c>
      <c r="F8" s="60" t="s">
        <v>66</v>
      </c>
      <c r="G8" s="43">
        <v>32</v>
      </c>
      <c r="H8" s="43">
        <v>1</v>
      </c>
      <c r="I8" s="61">
        <f>((ROUND(D8/E8+1,0)))</f>
        <v>76</v>
      </c>
      <c r="J8" s="62">
        <f t="shared" ref="J8" si="0">ROUND(H8*I8,0)</f>
        <v>76</v>
      </c>
      <c r="K8" s="62">
        <f>+SUM(M8:Q8)-(2*G8)</f>
        <v>8256</v>
      </c>
      <c r="L8" s="41">
        <v>11</v>
      </c>
      <c r="M8" s="29">
        <f>ROUND(((1000-50-75)/2)+150,0)</f>
        <v>588</v>
      </c>
      <c r="N8" s="29">
        <v>7732</v>
      </c>
      <c r="O8" s="29"/>
      <c r="P8" s="43"/>
      <c r="Q8" s="43"/>
      <c r="R8" s="43"/>
      <c r="S8" s="43"/>
      <c r="T8" s="43"/>
      <c r="U8" s="43"/>
      <c r="V8" s="43"/>
      <c r="W8" s="39"/>
      <c r="X8" s="30"/>
      <c r="Y8" s="30"/>
      <c r="Z8" s="30"/>
      <c r="AA8" s="63">
        <f t="shared" ref="AA8" si="1">+IF(G8="","",J8*K8)</f>
        <v>627456</v>
      </c>
      <c r="AB8" s="64" t="str">
        <f t="shared" ref="AB8" si="2">IF(G8=8,J8*K8,"")</f>
        <v/>
      </c>
      <c r="AC8" s="64" t="str">
        <f t="shared" ref="AC8" si="3">IF(G8=10,J8*K8,"")</f>
        <v/>
      </c>
      <c r="AD8" s="64" t="str">
        <f t="shared" ref="AD8" si="4">IF(G8=12,J8*K8,"")</f>
        <v/>
      </c>
      <c r="AE8" s="64" t="str">
        <f t="shared" ref="AE8" si="5">IF(G8=16,J8*K8,"")</f>
        <v/>
      </c>
      <c r="AF8" s="64" t="str">
        <f t="shared" ref="AF8" si="6">IF(G8=20,J8*K8,"")</f>
        <v/>
      </c>
      <c r="AG8" s="64" t="str">
        <f t="shared" ref="AG8" si="7">IF(G8=25,J8*K8,"")</f>
        <v/>
      </c>
      <c r="AH8" s="65">
        <f t="shared" ref="AH8" si="8">IF(G8=32,J8*K8,"")</f>
        <v>627456</v>
      </c>
    </row>
    <row r="9" spans="1:46" s="33" customFormat="1" ht="40" customHeight="1" x14ac:dyDescent="0.25">
      <c r="A9" s="53">
        <v>2</v>
      </c>
      <c r="B9" s="43" t="s">
        <v>65</v>
      </c>
      <c r="C9" s="43"/>
      <c r="D9" s="43">
        <v>15050</v>
      </c>
      <c r="E9" s="43">
        <v>200</v>
      </c>
      <c r="F9" s="60" t="s">
        <v>66</v>
      </c>
      <c r="G9" s="43">
        <v>25</v>
      </c>
      <c r="H9" s="43">
        <v>1</v>
      </c>
      <c r="I9" s="61">
        <f t="shared" ref="I9:I20" si="9">((ROUND(D9/E9+1,0)))</f>
        <v>76</v>
      </c>
      <c r="J9" s="62">
        <f t="shared" ref="J9:J10" si="10">ROUND(H9*I9,0)</f>
        <v>76</v>
      </c>
      <c r="K9" s="62">
        <f>+SUM(M9:Q9)-(2*G9)</f>
        <v>8289.5</v>
      </c>
      <c r="L9" s="41">
        <v>11</v>
      </c>
      <c r="M9" s="29">
        <f>((1000-50-75)/2)+150</f>
        <v>587.5</v>
      </c>
      <c r="N9" s="29">
        <v>7752</v>
      </c>
      <c r="O9" s="29"/>
      <c r="P9" s="43"/>
      <c r="Q9" s="43"/>
      <c r="R9" s="43"/>
      <c r="S9" s="43"/>
      <c r="T9" s="43"/>
      <c r="U9" s="43"/>
      <c r="V9" s="43"/>
      <c r="W9" s="39"/>
      <c r="X9" s="30"/>
      <c r="Y9" s="30"/>
      <c r="Z9" s="30"/>
      <c r="AA9" s="63">
        <f t="shared" ref="AA9:AA10" si="11">+IF(G9="","",J9*K9)</f>
        <v>630002</v>
      </c>
      <c r="AB9" s="64" t="str">
        <f t="shared" ref="AB9:AB10" si="12">IF(G9=8,J9*K9,"")</f>
        <v/>
      </c>
      <c r="AC9" s="64" t="str">
        <f t="shared" ref="AC9:AC10" si="13">IF(G9=10,J9*K9,"")</f>
        <v/>
      </c>
      <c r="AD9" s="64" t="str">
        <f t="shared" ref="AD9:AD10" si="14">IF(G9=12,J9*K9,"")</f>
        <v/>
      </c>
      <c r="AE9" s="64" t="str">
        <f t="shared" ref="AE9:AE10" si="15">IF(G9=16,J9*K9,"")</f>
        <v/>
      </c>
      <c r="AF9" s="64" t="str">
        <f t="shared" ref="AF9:AF10" si="16">IF(G9=20,J9*K9,"")</f>
        <v/>
      </c>
      <c r="AG9" s="64">
        <f t="shared" ref="AG9:AG10" si="17">IF(G9=25,J9*K9,"")</f>
        <v>630002</v>
      </c>
      <c r="AH9" s="65" t="str">
        <f t="shared" ref="AH9:AH10" si="18">IF(G9=32,J9*K9,"")</f>
        <v/>
      </c>
    </row>
    <row r="10" spans="1:46" s="33" customFormat="1" ht="40" customHeight="1" x14ac:dyDescent="0.25">
      <c r="A10" s="53">
        <v>3</v>
      </c>
      <c r="B10" s="43" t="s">
        <v>67</v>
      </c>
      <c r="C10" s="43"/>
      <c r="D10" s="43">
        <v>15050</v>
      </c>
      <c r="E10" s="43">
        <v>200</v>
      </c>
      <c r="F10" s="60" t="s">
        <v>66</v>
      </c>
      <c r="G10" s="43">
        <v>32</v>
      </c>
      <c r="H10" s="43">
        <v>1</v>
      </c>
      <c r="I10" s="61">
        <f t="shared" si="9"/>
        <v>76</v>
      </c>
      <c r="J10" s="62">
        <f t="shared" si="10"/>
        <v>76</v>
      </c>
      <c r="K10" s="62">
        <f t="shared" ref="K10:K18" si="19">+SUM(M10:Q10)</f>
        <v>10415</v>
      </c>
      <c r="L10" s="41">
        <v>0</v>
      </c>
      <c r="M10" s="29">
        <v>10415</v>
      </c>
      <c r="N10" s="29"/>
      <c r="O10" s="29"/>
      <c r="P10" s="43"/>
      <c r="Q10" s="43"/>
      <c r="R10" s="43"/>
      <c r="S10" s="43"/>
      <c r="T10" s="43"/>
      <c r="U10" s="43"/>
      <c r="V10" s="43"/>
      <c r="W10" s="39"/>
      <c r="X10" s="30"/>
      <c r="Y10" s="30"/>
      <c r="Z10" s="30"/>
      <c r="AA10" s="63">
        <f t="shared" si="11"/>
        <v>791540</v>
      </c>
      <c r="AB10" s="64" t="str">
        <f t="shared" si="12"/>
        <v/>
      </c>
      <c r="AC10" s="64" t="str">
        <f t="shared" si="13"/>
        <v/>
      </c>
      <c r="AD10" s="64" t="str">
        <f t="shared" si="14"/>
        <v/>
      </c>
      <c r="AE10" s="64" t="str">
        <f t="shared" si="15"/>
        <v/>
      </c>
      <c r="AF10" s="64" t="str">
        <f t="shared" si="16"/>
        <v/>
      </c>
      <c r="AG10" s="64" t="str">
        <f t="shared" si="17"/>
        <v/>
      </c>
      <c r="AH10" s="65">
        <f t="shared" si="18"/>
        <v>791540</v>
      </c>
    </row>
    <row r="11" spans="1:46" s="33" customFormat="1" ht="40" customHeight="1" x14ac:dyDescent="0.25">
      <c r="A11" s="53">
        <v>4</v>
      </c>
      <c r="B11" s="43" t="s">
        <v>68</v>
      </c>
      <c r="C11" s="43"/>
      <c r="D11" s="43">
        <v>15050</v>
      </c>
      <c r="E11" s="43">
        <v>200</v>
      </c>
      <c r="F11" s="60" t="s">
        <v>66</v>
      </c>
      <c r="G11" s="43">
        <v>25</v>
      </c>
      <c r="H11" s="43">
        <v>1</v>
      </c>
      <c r="I11" s="61">
        <f t="shared" si="9"/>
        <v>76</v>
      </c>
      <c r="J11" s="62">
        <f t="shared" ref="J11:J16" si="20">ROUND(H11*I11,0)</f>
        <v>76</v>
      </c>
      <c r="K11" s="62">
        <f t="shared" si="19"/>
        <v>10015</v>
      </c>
      <c r="L11" s="41">
        <v>0</v>
      </c>
      <c r="M11" s="29">
        <v>10015</v>
      </c>
      <c r="N11" s="29"/>
      <c r="O11" s="29"/>
      <c r="P11" s="43"/>
      <c r="Q11" s="43"/>
      <c r="R11" s="43"/>
      <c r="S11" s="43"/>
      <c r="T11" s="43"/>
      <c r="U11" s="43"/>
      <c r="V11" s="43"/>
      <c r="W11" s="39"/>
      <c r="X11" s="30"/>
      <c r="Y11" s="30"/>
      <c r="Z11" s="30"/>
      <c r="AA11" s="63">
        <f t="shared" ref="AA11:AA16" si="21">+IF(G11="","",J11*K11)</f>
        <v>761140</v>
      </c>
      <c r="AB11" s="64" t="str">
        <f t="shared" ref="AB11:AB16" si="22">IF(G11=8,J11*K11,"")</f>
        <v/>
      </c>
      <c r="AC11" s="64" t="str">
        <f t="shared" ref="AC11:AC16" si="23">IF(G11=10,J11*K11,"")</f>
        <v/>
      </c>
      <c r="AD11" s="64" t="str">
        <f t="shared" ref="AD11:AD16" si="24">IF(G11=12,J11*K11,"")</f>
        <v/>
      </c>
      <c r="AE11" s="64" t="str">
        <f t="shared" ref="AE11:AE16" si="25">IF(G11=16,J11*K11,"")</f>
        <v/>
      </c>
      <c r="AF11" s="64" t="str">
        <f t="shared" ref="AF11:AF16" si="26">IF(G11=20,J11*K11,"")</f>
        <v/>
      </c>
      <c r="AG11" s="64">
        <f t="shared" ref="AG11:AG16" si="27">IF(G11=25,J11*K11,"")</f>
        <v>761140</v>
      </c>
      <c r="AH11" s="65" t="str">
        <f t="shared" ref="AH11:AH16" si="28">IF(G11=32,J11*K11,"")</f>
        <v/>
      </c>
    </row>
    <row r="12" spans="1:46" s="33" customFormat="1" ht="40" customHeight="1" x14ac:dyDescent="0.25">
      <c r="A12" s="53">
        <v>5</v>
      </c>
      <c r="B12" s="43" t="s">
        <v>69</v>
      </c>
      <c r="C12" s="43"/>
      <c r="D12" s="43">
        <v>15050</v>
      </c>
      <c r="E12" s="43">
        <v>200</v>
      </c>
      <c r="F12" s="60" t="s">
        <v>66</v>
      </c>
      <c r="G12" s="43">
        <v>32</v>
      </c>
      <c r="H12" s="43">
        <v>1</v>
      </c>
      <c r="I12" s="61">
        <f t="shared" si="9"/>
        <v>76</v>
      </c>
      <c r="J12" s="62">
        <f t="shared" si="20"/>
        <v>76</v>
      </c>
      <c r="K12" s="62">
        <f t="shared" si="19"/>
        <v>11648</v>
      </c>
      <c r="L12" s="41">
        <v>0</v>
      </c>
      <c r="M12" s="29">
        <v>11648</v>
      </c>
      <c r="N12" s="29"/>
      <c r="O12" s="29"/>
      <c r="P12" s="43"/>
      <c r="Q12" s="43"/>
      <c r="R12" s="43"/>
      <c r="S12" s="43"/>
      <c r="T12" s="43"/>
      <c r="U12" s="43"/>
      <c r="V12" s="43"/>
      <c r="W12" s="39"/>
      <c r="X12" s="30"/>
      <c r="Y12" s="30"/>
      <c r="Z12" s="30"/>
      <c r="AA12" s="63">
        <f t="shared" si="21"/>
        <v>885248</v>
      </c>
      <c r="AB12" s="64" t="str">
        <f t="shared" si="22"/>
        <v/>
      </c>
      <c r="AC12" s="64" t="str">
        <f t="shared" si="23"/>
        <v/>
      </c>
      <c r="AD12" s="64" t="str">
        <f t="shared" si="24"/>
        <v/>
      </c>
      <c r="AE12" s="64" t="str">
        <f t="shared" si="25"/>
        <v/>
      </c>
      <c r="AF12" s="64" t="str">
        <f t="shared" si="26"/>
        <v/>
      </c>
      <c r="AG12" s="64" t="str">
        <f t="shared" si="27"/>
        <v/>
      </c>
      <c r="AH12" s="65">
        <f t="shared" si="28"/>
        <v>885248</v>
      </c>
    </row>
    <row r="13" spans="1:46" s="33" customFormat="1" ht="40" customHeight="1" x14ac:dyDescent="0.25">
      <c r="A13" s="53">
        <v>6</v>
      </c>
      <c r="B13" s="43" t="s">
        <v>70</v>
      </c>
      <c r="C13" s="43"/>
      <c r="D13" s="43">
        <v>15050</v>
      </c>
      <c r="E13" s="43">
        <v>200</v>
      </c>
      <c r="F13" s="60" t="s">
        <v>66</v>
      </c>
      <c r="G13" s="43">
        <v>25</v>
      </c>
      <c r="H13" s="43">
        <v>1</v>
      </c>
      <c r="I13" s="61">
        <f t="shared" si="9"/>
        <v>76</v>
      </c>
      <c r="J13" s="62">
        <f t="shared" ref="J13" si="29">ROUND(H13*I13,0)</f>
        <v>76</v>
      </c>
      <c r="K13" s="62">
        <f t="shared" si="19"/>
        <v>10165</v>
      </c>
      <c r="L13" s="41">
        <v>0</v>
      </c>
      <c r="M13" s="29">
        <v>10165</v>
      </c>
      <c r="N13" s="29"/>
      <c r="O13" s="29"/>
      <c r="P13" s="43"/>
      <c r="Q13" s="43"/>
      <c r="R13" s="43"/>
      <c r="S13" s="43"/>
      <c r="T13" s="43"/>
      <c r="U13" s="43"/>
      <c r="V13" s="43"/>
      <c r="W13" s="39"/>
      <c r="X13" s="30"/>
      <c r="Y13" s="30"/>
      <c r="Z13" s="30"/>
      <c r="AA13" s="63">
        <f t="shared" ref="AA13" si="30">+IF(G13="","",J13*K13)</f>
        <v>772540</v>
      </c>
      <c r="AB13" s="64" t="str">
        <f t="shared" ref="AB13" si="31">IF(G13=8,J13*K13,"")</f>
        <v/>
      </c>
      <c r="AC13" s="64" t="str">
        <f t="shared" ref="AC13" si="32">IF(G13=10,J13*K13,"")</f>
        <v/>
      </c>
      <c r="AD13" s="64" t="str">
        <f t="shared" ref="AD13" si="33">IF(G13=12,J13*K13,"")</f>
        <v/>
      </c>
      <c r="AE13" s="64" t="str">
        <f t="shared" ref="AE13" si="34">IF(G13=16,J13*K13,"")</f>
        <v/>
      </c>
      <c r="AF13" s="64" t="str">
        <f t="shared" ref="AF13" si="35">IF(G13=20,J13*K13,"")</f>
        <v/>
      </c>
      <c r="AG13" s="64">
        <f t="shared" ref="AG13" si="36">IF(G13=25,J13*K13,"")</f>
        <v>772540</v>
      </c>
      <c r="AH13" s="65" t="str">
        <f t="shared" ref="AH13" si="37">IF(G13=32,J13*K13,"")</f>
        <v/>
      </c>
    </row>
    <row r="14" spans="1:46" s="33" customFormat="1" ht="40" customHeight="1" x14ac:dyDescent="0.25">
      <c r="A14" s="53">
        <v>7</v>
      </c>
      <c r="B14" s="43" t="s">
        <v>72</v>
      </c>
      <c r="C14" s="43"/>
      <c r="D14" s="43">
        <v>77100</v>
      </c>
      <c r="E14" s="43">
        <v>200</v>
      </c>
      <c r="F14" s="60" t="s">
        <v>71</v>
      </c>
      <c r="G14" s="43">
        <v>25</v>
      </c>
      <c r="H14" s="43">
        <v>1</v>
      </c>
      <c r="I14" s="61">
        <f t="shared" si="9"/>
        <v>387</v>
      </c>
      <c r="J14" s="62">
        <f t="shared" si="20"/>
        <v>387</v>
      </c>
      <c r="K14" s="62">
        <f>+SUM(M14:Q14)-(2*G14)</f>
        <v>8934.5</v>
      </c>
      <c r="L14" s="41">
        <v>11</v>
      </c>
      <c r="M14" s="29">
        <f>((1000-50-75)/2)+150</f>
        <v>587.5</v>
      </c>
      <c r="N14" s="29">
        <v>8397</v>
      </c>
      <c r="O14" s="29"/>
      <c r="P14" s="43"/>
      <c r="Q14" s="43"/>
      <c r="R14" s="43"/>
      <c r="S14" s="43"/>
      <c r="T14" s="43"/>
      <c r="U14" s="43"/>
      <c r="V14" s="43"/>
      <c r="W14" s="39"/>
      <c r="X14" s="30"/>
      <c r="Y14" s="30"/>
      <c r="Z14" s="30"/>
      <c r="AA14" s="63">
        <f t="shared" si="21"/>
        <v>3457651.5</v>
      </c>
      <c r="AB14" s="64" t="str">
        <f t="shared" si="22"/>
        <v/>
      </c>
      <c r="AC14" s="64" t="str">
        <f t="shared" si="23"/>
        <v/>
      </c>
      <c r="AD14" s="64" t="str">
        <f t="shared" si="24"/>
        <v/>
      </c>
      <c r="AE14" s="64" t="str">
        <f t="shared" si="25"/>
        <v/>
      </c>
      <c r="AF14" s="64" t="str">
        <f t="shared" si="26"/>
        <v/>
      </c>
      <c r="AG14" s="64">
        <f t="shared" si="27"/>
        <v>3457651.5</v>
      </c>
      <c r="AH14" s="65" t="str">
        <f t="shared" si="28"/>
        <v/>
      </c>
    </row>
    <row r="15" spans="1:46" s="33" customFormat="1" ht="40" customHeight="1" x14ac:dyDescent="0.25">
      <c r="A15" s="53">
        <v>8</v>
      </c>
      <c r="B15" s="43" t="s">
        <v>73</v>
      </c>
      <c r="C15" s="43"/>
      <c r="D15" s="43">
        <v>77100</v>
      </c>
      <c r="E15" s="43">
        <v>200</v>
      </c>
      <c r="F15" s="60" t="s">
        <v>71</v>
      </c>
      <c r="G15" s="43">
        <v>25</v>
      </c>
      <c r="H15" s="43">
        <v>1</v>
      </c>
      <c r="I15" s="61">
        <f t="shared" si="9"/>
        <v>387</v>
      </c>
      <c r="J15" s="62">
        <f t="shared" si="20"/>
        <v>387</v>
      </c>
      <c r="K15" s="62">
        <f t="shared" ref="K15:K16" si="38">+SUM(M15:Q15)-(2*G15)</f>
        <v>8044.5</v>
      </c>
      <c r="L15" s="41">
        <v>11</v>
      </c>
      <c r="M15" s="29">
        <f>((1000-50-75)/2)+150</f>
        <v>587.5</v>
      </c>
      <c r="N15" s="29">
        <v>7507</v>
      </c>
      <c r="O15" s="29"/>
      <c r="P15" s="43"/>
      <c r="Q15" s="43"/>
      <c r="R15" s="43"/>
      <c r="S15" s="43"/>
      <c r="T15" s="43"/>
      <c r="U15" s="43"/>
      <c r="V15" s="43"/>
      <c r="W15" s="39"/>
      <c r="X15" s="30"/>
      <c r="Y15" s="30"/>
      <c r="Z15" s="30"/>
      <c r="AA15" s="63">
        <f t="shared" si="21"/>
        <v>3113221.5</v>
      </c>
      <c r="AB15" s="64" t="str">
        <f t="shared" si="22"/>
        <v/>
      </c>
      <c r="AC15" s="64" t="str">
        <f t="shared" si="23"/>
        <v/>
      </c>
      <c r="AD15" s="64" t="str">
        <f t="shared" si="24"/>
        <v/>
      </c>
      <c r="AE15" s="64" t="str">
        <f t="shared" si="25"/>
        <v/>
      </c>
      <c r="AF15" s="64" t="str">
        <f t="shared" si="26"/>
        <v/>
      </c>
      <c r="AG15" s="64">
        <f t="shared" si="27"/>
        <v>3113221.5</v>
      </c>
      <c r="AH15" s="65" t="str">
        <f t="shared" si="28"/>
        <v/>
      </c>
    </row>
    <row r="16" spans="1:46" s="33" customFormat="1" ht="40" customHeight="1" x14ac:dyDescent="0.25">
      <c r="A16" s="53">
        <v>9</v>
      </c>
      <c r="B16" s="43" t="s">
        <v>76</v>
      </c>
      <c r="C16" s="43"/>
      <c r="D16" s="43">
        <v>15050</v>
      </c>
      <c r="E16" s="43">
        <v>100</v>
      </c>
      <c r="F16" s="60" t="s">
        <v>75</v>
      </c>
      <c r="G16" s="43">
        <v>20</v>
      </c>
      <c r="H16" s="43">
        <v>1</v>
      </c>
      <c r="I16" s="61">
        <f t="shared" si="9"/>
        <v>152</v>
      </c>
      <c r="J16" s="62">
        <f t="shared" si="20"/>
        <v>152</v>
      </c>
      <c r="K16" s="62">
        <f t="shared" si="38"/>
        <v>9601.5</v>
      </c>
      <c r="L16" s="41"/>
      <c r="M16" s="29">
        <f>((1000-50-75)/2)+150</f>
        <v>587.5</v>
      </c>
      <c r="N16" s="29">
        <v>9054</v>
      </c>
      <c r="O16" s="29"/>
      <c r="P16" s="43"/>
      <c r="Q16" s="43"/>
      <c r="R16" s="43"/>
      <c r="S16" s="43"/>
      <c r="T16" s="43"/>
      <c r="U16" s="43"/>
      <c r="V16" s="43"/>
      <c r="W16" s="39"/>
      <c r="X16" s="30"/>
      <c r="Y16" s="30"/>
      <c r="Z16" s="30"/>
      <c r="AA16" s="63">
        <f t="shared" si="21"/>
        <v>1459428</v>
      </c>
      <c r="AB16" s="64" t="str">
        <f t="shared" si="22"/>
        <v/>
      </c>
      <c r="AC16" s="64" t="str">
        <f t="shared" si="23"/>
        <v/>
      </c>
      <c r="AD16" s="64" t="str">
        <f t="shared" si="24"/>
        <v/>
      </c>
      <c r="AE16" s="64" t="str">
        <f t="shared" si="25"/>
        <v/>
      </c>
      <c r="AF16" s="64">
        <f t="shared" si="26"/>
        <v>1459428</v>
      </c>
      <c r="AG16" s="64" t="str">
        <f t="shared" si="27"/>
        <v/>
      </c>
      <c r="AH16" s="65" t="str">
        <f t="shared" si="28"/>
        <v/>
      </c>
    </row>
    <row r="17" spans="1:34" s="33" customFormat="1" ht="40" customHeight="1" x14ac:dyDescent="0.25">
      <c r="A17" s="53">
        <v>10</v>
      </c>
      <c r="B17" s="43" t="s">
        <v>77</v>
      </c>
      <c r="C17" s="43"/>
      <c r="D17" s="43">
        <v>15050</v>
      </c>
      <c r="E17" s="43">
        <v>100</v>
      </c>
      <c r="F17" s="60" t="s">
        <v>75</v>
      </c>
      <c r="G17" s="43">
        <v>20</v>
      </c>
      <c r="H17" s="43">
        <v>1</v>
      </c>
      <c r="I17" s="61">
        <f t="shared" si="9"/>
        <v>152</v>
      </c>
      <c r="J17" s="62">
        <f t="shared" ref="J17" si="39">ROUND(H17*I17,0)</f>
        <v>152</v>
      </c>
      <c r="K17" s="62">
        <f t="shared" si="19"/>
        <v>10665</v>
      </c>
      <c r="L17" s="41">
        <v>0</v>
      </c>
      <c r="M17" s="29">
        <v>10665</v>
      </c>
      <c r="N17" s="29"/>
      <c r="O17" s="29"/>
      <c r="P17" s="43"/>
      <c r="Q17" s="43"/>
      <c r="R17" s="43"/>
      <c r="S17" s="43"/>
      <c r="T17" s="43"/>
      <c r="U17" s="43"/>
      <c r="V17" s="43"/>
      <c r="W17" s="39"/>
      <c r="X17" s="30"/>
      <c r="Y17" s="30"/>
      <c r="Z17" s="30"/>
      <c r="AA17" s="63">
        <f t="shared" ref="AA17" si="40">+IF(G17="","",J17*K17)</f>
        <v>1621080</v>
      </c>
      <c r="AB17" s="64" t="str">
        <f t="shared" ref="AB17" si="41">IF(G17=8,J17*K17,"")</f>
        <v/>
      </c>
      <c r="AC17" s="64" t="str">
        <f t="shared" ref="AC17" si="42">IF(G17=10,J17*K17,"")</f>
        <v/>
      </c>
      <c r="AD17" s="64" t="str">
        <f t="shared" ref="AD17" si="43">IF(G17=12,J17*K17,"")</f>
        <v/>
      </c>
      <c r="AE17" s="64" t="str">
        <f t="shared" ref="AE17" si="44">IF(G17=16,J17*K17,"")</f>
        <v/>
      </c>
      <c r="AF17" s="64">
        <f t="shared" ref="AF17" si="45">IF(G17=20,J17*K17,"")</f>
        <v>1621080</v>
      </c>
      <c r="AG17" s="64" t="str">
        <f t="shared" ref="AG17" si="46">IF(G17=25,J17*K17,"")</f>
        <v/>
      </c>
      <c r="AH17" s="65" t="str">
        <f t="shared" ref="AH17" si="47">IF(G17=32,J17*K17,"")</f>
        <v/>
      </c>
    </row>
    <row r="18" spans="1:34" s="33" customFormat="1" ht="40" customHeight="1" x14ac:dyDescent="0.25">
      <c r="A18" s="53">
        <v>11</v>
      </c>
      <c r="B18" s="43" t="s">
        <v>78</v>
      </c>
      <c r="C18" s="43"/>
      <c r="D18" s="43">
        <v>15050</v>
      </c>
      <c r="E18" s="43">
        <v>100</v>
      </c>
      <c r="F18" s="60" t="s">
        <v>75</v>
      </c>
      <c r="G18" s="43">
        <v>20</v>
      </c>
      <c r="H18" s="43">
        <v>1</v>
      </c>
      <c r="I18" s="61">
        <f t="shared" si="9"/>
        <v>152</v>
      </c>
      <c r="J18" s="62">
        <f t="shared" ref="J18" si="48">ROUND(H18*I18,0)</f>
        <v>152</v>
      </c>
      <c r="K18" s="62">
        <f t="shared" si="19"/>
        <v>10265</v>
      </c>
      <c r="L18" s="41">
        <v>0</v>
      </c>
      <c r="M18" s="29">
        <v>10265</v>
      </c>
      <c r="N18" s="29"/>
      <c r="O18" s="29"/>
      <c r="P18" s="43"/>
      <c r="Q18" s="43"/>
      <c r="R18" s="43"/>
      <c r="S18" s="43"/>
      <c r="T18" s="43"/>
      <c r="U18" s="43"/>
      <c r="V18" s="43"/>
      <c r="W18" s="39"/>
      <c r="X18" s="30"/>
      <c r="Y18" s="30"/>
      <c r="Z18" s="30"/>
      <c r="AA18" s="63">
        <f t="shared" ref="AA18" si="49">+IF(G18="","",J18*K18)</f>
        <v>1560280</v>
      </c>
      <c r="AB18" s="64" t="str">
        <f t="shared" ref="AB18" si="50">IF(G18=8,J18*K18,"")</f>
        <v/>
      </c>
      <c r="AC18" s="64" t="str">
        <f t="shared" ref="AC18" si="51">IF(G18=10,J18*K18,"")</f>
        <v/>
      </c>
      <c r="AD18" s="64" t="str">
        <f t="shared" ref="AD18" si="52">IF(G18=12,J18*K18,"")</f>
        <v/>
      </c>
      <c r="AE18" s="64" t="str">
        <f t="shared" ref="AE18" si="53">IF(G18=16,J18*K18,"")</f>
        <v/>
      </c>
      <c r="AF18" s="64">
        <f t="shared" ref="AF18" si="54">IF(G18=20,J18*K18,"")</f>
        <v>1560280</v>
      </c>
      <c r="AG18" s="64" t="str">
        <f t="shared" ref="AG18" si="55">IF(G18=25,J18*K18,"")</f>
        <v/>
      </c>
      <c r="AH18" s="65" t="str">
        <f t="shared" ref="AH18" si="56">IF(G18=32,J18*K18,"")</f>
        <v/>
      </c>
    </row>
    <row r="19" spans="1:34" s="33" customFormat="1" ht="40" customHeight="1" x14ac:dyDescent="0.25">
      <c r="A19" s="53">
        <v>12</v>
      </c>
      <c r="B19" s="43" t="s">
        <v>79</v>
      </c>
      <c r="C19" s="43"/>
      <c r="D19" s="43">
        <v>77096</v>
      </c>
      <c r="E19" s="43">
        <v>100</v>
      </c>
      <c r="F19" s="60" t="s">
        <v>74</v>
      </c>
      <c r="G19" s="43">
        <v>20</v>
      </c>
      <c r="H19" s="43">
        <v>1</v>
      </c>
      <c r="I19" s="61">
        <f t="shared" si="9"/>
        <v>772</v>
      </c>
      <c r="J19" s="62">
        <f t="shared" ref="J19" si="57">ROUND(H19*I19,0)</f>
        <v>772</v>
      </c>
      <c r="K19" s="62">
        <f t="shared" ref="K19:K20" si="58">+SUM(M19:Q19)-(2*G19)</f>
        <v>6997.5</v>
      </c>
      <c r="L19" s="41"/>
      <c r="M19" s="29">
        <f t="shared" ref="M19:M20" si="59">((1000-50-75)/2)+150</f>
        <v>587.5</v>
      </c>
      <c r="N19" s="29">
        <v>6450</v>
      </c>
      <c r="O19" s="29"/>
      <c r="P19" s="43"/>
      <c r="Q19" s="43"/>
      <c r="R19" s="43"/>
      <c r="S19" s="43"/>
      <c r="T19" s="43"/>
      <c r="U19" s="43"/>
      <c r="V19" s="43"/>
      <c r="W19" s="39"/>
      <c r="X19" s="30"/>
      <c r="Y19" s="30"/>
      <c r="Z19" s="30"/>
      <c r="AA19" s="63">
        <f t="shared" ref="AA19" si="60">+IF(G19="","",J19*K19)</f>
        <v>5402070</v>
      </c>
      <c r="AB19" s="64" t="str">
        <f t="shared" ref="AB19" si="61">IF(G19=8,J19*K19,"")</f>
        <v/>
      </c>
      <c r="AC19" s="64" t="str">
        <f t="shared" ref="AC19" si="62">IF(G19=10,J19*K19,"")</f>
        <v/>
      </c>
      <c r="AD19" s="64" t="str">
        <f t="shared" ref="AD19" si="63">IF(G19=12,J19*K19,"")</f>
        <v/>
      </c>
      <c r="AE19" s="64" t="str">
        <f t="shared" ref="AE19" si="64">IF(G19=16,J19*K19,"")</f>
        <v/>
      </c>
      <c r="AF19" s="64">
        <f t="shared" ref="AF19" si="65">IF(G19=20,J19*K19,"")</f>
        <v>5402070</v>
      </c>
      <c r="AG19" s="64" t="str">
        <f t="shared" ref="AG19" si="66">IF(G19=25,J19*K19,"")</f>
        <v/>
      </c>
      <c r="AH19" s="65" t="str">
        <f t="shared" ref="AH19" si="67">IF(G19=32,J19*K19,"")</f>
        <v/>
      </c>
    </row>
    <row r="20" spans="1:34" s="33" customFormat="1" ht="44.4" customHeight="1" thickBot="1" x14ac:dyDescent="0.3">
      <c r="A20" s="53">
        <v>13</v>
      </c>
      <c r="B20" s="43" t="s">
        <v>79</v>
      </c>
      <c r="C20" s="43"/>
      <c r="D20" s="43">
        <v>74600</v>
      </c>
      <c r="E20" s="43">
        <v>100</v>
      </c>
      <c r="F20" s="60" t="s">
        <v>74</v>
      </c>
      <c r="G20" s="43">
        <v>20</v>
      </c>
      <c r="H20" s="43">
        <v>1</v>
      </c>
      <c r="I20" s="61">
        <f t="shared" si="9"/>
        <v>747</v>
      </c>
      <c r="J20" s="62">
        <f t="shared" ref="J20" si="68">ROUND(H20*I20,0)</f>
        <v>747</v>
      </c>
      <c r="K20" s="62">
        <f t="shared" si="58"/>
        <v>9807.5</v>
      </c>
      <c r="L20" s="41"/>
      <c r="M20" s="29">
        <f t="shared" si="59"/>
        <v>587.5</v>
      </c>
      <c r="N20" s="29">
        <v>9260</v>
      </c>
      <c r="O20" s="29"/>
      <c r="P20" s="43"/>
      <c r="Q20" s="43"/>
      <c r="R20" s="43"/>
      <c r="S20" s="43"/>
      <c r="T20" s="43"/>
      <c r="U20" s="43"/>
      <c r="V20" s="43"/>
      <c r="W20" s="76"/>
      <c r="X20" s="71"/>
      <c r="Y20" s="71"/>
      <c r="Z20" s="71"/>
      <c r="AA20" s="77">
        <f t="shared" ref="AA20" si="69">+IF(G20="","",J20*K20)</f>
        <v>7326202.5</v>
      </c>
      <c r="AB20" s="78" t="str">
        <f t="shared" ref="AB20" si="70">IF(G20=8,J20*K20,"")</f>
        <v/>
      </c>
      <c r="AC20" s="78" t="str">
        <f t="shared" ref="AC20" si="71">IF(G20=10,J20*K20,"")</f>
        <v/>
      </c>
      <c r="AD20" s="78" t="str">
        <f t="shared" ref="AD20" si="72">IF(G20=12,J20*K20,"")</f>
        <v/>
      </c>
      <c r="AE20" s="78" t="str">
        <f t="shared" ref="AE20" si="73">IF(G20=16,J20*K20,"")</f>
        <v/>
      </c>
      <c r="AF20" s="78">
        <f t="shared" ref="AF20" si="74">IF(G20=20,J20*K20,"")</f>
        <v>7326202.5</v>
      </c>
      <c r="AG20" s="78" t="str">
        <f t="shared" ref="AG20" si="75">IF(G20=25,J20*K20,"")</f>
        <v/>
      </c>
      <c r="AH20" s="79" t="str">
        <f t="shared" ref="AH20" si="76">IF(G20=32,J20*K20,"")</f>
        <v/>
      </c>
    </row>
    <row r="21" spans="1:34" ht="40" customHeight="1" x14ac:dyDescent="0.25">
      <c r="A21" s="66"/>
      <c r="B21" s="45"/>
      <c r="C21" s="45"/>
      <c r="D21" s="45"/>
      <c r="E21" s="46"/>
      <c r="F21" s="60"/>
      <c r="G21" s="44"/>
      <c r="H21" s="45"/>
      <c r="I21" s="45"/>
      <c r="J21" s="44"/>
      <c r="K21" s="45"/>
      <c r="L21" s="41"/>
      <c r="M21" s="45"/>
      <c r="N21" s="45"/>
      <c r="O21" s="45"/>
      <c r="P21" s="45"/>
      <c r="Q21" s="45"/>
      <c r="R21" s="45"/>
      <c r="S21" s="45"/>
      <c r="T21" s="45"/>
      <c r="U21" s="45"/>
      <c r="V21" s="74"/>
      <c r="W21" s="86" t="s">
        <v>57</v>
      </c>
      <c r="X21" s="83"/>
      <c r="Y21" s="80"/>
      <c r="Z21" s="80"/>
      <c r="AA21" s="81">
        <f>SUM(AA8:AA20)</f>
        <v>28407859.5</v>
      </c>
      <c r="AB21" s="81">
        <f t="shared" ref="AB21:AH21" si="77">SUM(AB8:AB20)</f>
        <v>0</v>
      </c>
      <c r="AC21" s="81">
        <f t="shared" si="77"/>
        <v>0</v>
      </c>
      <c r="AD21" s="81">
        <f t="shared" si="77"/>
        <v>0</v>
      </c>
      <c r="AE21" s="81">
        <f t="shared" si="77"/>
        <v>0</v>
      </c>
      <c r="AF21" s="81">
        <f t="shared" si="77"/>
        <v>17369060.5</v>
      </c>
      <c r="AG21" s="81">
        <f t="shared" si="77"/>
        <v>8734555</v>
      </c>
      <c r="AH21" s="82">
        <f t="shared" si="77"/>
        <v>2304244</v>
      </c>
    </row>
    <row r="22" spans="1:34" ht="40" customHeight="1" x14ac:dyDescent="0.25">
      <c r="A22" s="66"/>
      <c r="B22" s="45"/>
      <c r="C22" s="45"/>
      <c r="D22" s="45"/>
      <c r="E22" s="46"/>
      <c r="F22" s="45"/>
      <c r="G22" s="44"/>
      <c r="H22" s="45"/>
      <c r="I22" s="45"/>
      <c r="J22" s="44"/>
      <c r="K22" s="45"/>
      <c r="L22" s="41"/>
      <c r="M22" s="45"/>
      <c r="N22" s="45"/>
      <c r="O22" s="45"/>
      <c r="P22" s="45"/>
      <c r="Q22" s="45"/>
      <c r="R22" s="45"/>
      <c r="S22" s="45"/>
      <c r="T22" s="45"/>
      <c r="U22" s="45"/>
      <c r="V22" s="74"/>
      <c r="W22" s="87" t="s">
        <v>56</v>
      </c>
      <c r="X22" s="84"/>
      <c r="Y22" s="30"/>
      <c r="Z22" s="30"/>
      <c r="AA22" s="30"/>
      <c r="AB22" s="68">
        <v>0.39500000000000002</v>
      </c>
      <c r="AC22" s="68">
        <v>0.61699999999999999</v>
      </c>
      <c r="AD22" s="68">
        <v>0.88800000000000001</v>
      </c>
      <c r="AE22" s="68">
        <v>1.58</v>
      </c>
      <c r="AF22" s="68">
        <v>2.4700000000000002</v>
      </c>
      <c r="AG22" s="68">
        <v>3.85</v>
      </c>
      <c r="AH22" s="69">
        <v>6.31</v>
      </c>
    </row>
    <row r="23" spans="1:34" ht="40" customHeight="1" thickBot="1" x14ac:dyDescent="0.3">
      <c r="A23" s="66"/>
      <c r="B23" s="45"/>
      <c r="C23" s="45"/>
      <c r="D23" s="45"/>
      <c r="E23" s="46"/>
      <c r="F23" s="45"/>
      <c r="G23" s="44"/>
      <c r="H23" s="45"/>
      <c r="I23" s="45"/>
      <c r="J23" s="44"/>
      <c r="K23" s="45"/>
      <c r="L23" s="41"/>
      <c r="M23" s="45"/>
      <c r="N23" s="45"/>
      <c r="O23" s="45"/>
      <c r="P23" s="45"/>
      <c r="Q23" s="45"/>
      <c r="R23" s="45"/>
      <c r="S23" s="45"/>
      <c r="T23" s="45"/>
      <c r="U23" s="45"/>
      <c r="V23" s="74"/>
      <c r="W23" s="88" t="s">
        <v>55</v>
      </c>
      <c r="X23" s="84"/>
      <c r="Y23" s="30"/>
      <c r="Z23" s="30"/>
      <c r="AA23" s="71"/>
      <c r="AB23" s="71">
        <f t="shared" ref="AB23:AH23" si="78">+AB21*AB22/1000</f>
        <v>0</v>
      </c>
      <c r="AC23" s="71">
        <f t="shared" si="78"/>
        <v>0</v>
      </c>
      <c r="AD23" s="71">
        <f t="shared" si="78"/>
        <v>0</v>
      </c>
      <c r="AE23" s="71">
        <f t="shared" si="78"/>
        <v>0</v>
      </c>
      <c r="AF23" s="72">
        <f t="shared" si="78"/>
        <v>42901.579435</v>
      </c>
      <c r="AG23" s="72">
        <f t="shared" si="78"/>
        <v>33628.036749999999</v>
      </c>
      <c r="AH23" s="73">
        <f t="shared" si="78"/>
        <v>14539.779639999999</v>
      </c>
    </row>
    <row r="24" spans="1:34" ht="40" customHeight="1" thickBot="1" x14ac:dyDescent="0.3">
      <c r="A24" s="67"/>
      <c r="B24" s="55"/>
      <c r="C24" s="55"/>
      <c r="D24" s="55"/>
      <c r="E24" s="56"/>
      <c r="F24" s="55"/>
      <c r="G24" s="57"/>
      <c r="H24" s="55"/>
      <c r="I24" s="55"/>
      <c r="J24" s="57"/>
      <c r="K24" s="55"/>
      <c r="L24" s="58"/>
      <c r="M24" s="55"/>
      <c r="N24" s="55"/>
      <c r="O24" s="55"/>
      <c r="P24" s="55"/>
      <c r="Q24" s="55"/>
      <c r="R24" s="55"/>
      <c r="S24" s="55"/>
      <c r="T24" s="55"/>
      <c r="U24" s="55"/>
      <c r="V24" s="75"/>
      <c r="W24" s="85" t="s">
        <v>61</v>
      </c>
      <c r="X24" s="59"/>
      <c r="Y24" s="59"/>
      <c r="Z24" s="70"/>
      <c r="AA24" s="93">
        <f>+SUM(AB23:AH23)/1000</f>
        <v>91.069395824999987</v>
      </c>
      <c r="AB24" s="94"/>
      <c r="AC24" s="94"/>
      <c r="AD24" s="94"/>
      <c r="AE24" s="94"/>
      <c r="AF24" s="94"/>
      <c r="AG24" s="94"/>
      <c r="AH24" s="95"/>
    </row>
    <row r="28" spans="1:34" ht="40" customHeight="1" x14ac:dyDescent="0.25">
      <c r="L28" s="92"/>
    </row>
    <row r="33" spans="12:12" ht="40" customHeight="1" x14ac:dyDescent="0.25">
      <c r="L33" s="41"/>
    </row>
  </sheetData>
  <mergeCells count="21">
    <mergeCell ref="A1:AH1"/>
    <mergeCell ref="A2:D2"/>
    <mergeCell ref="E2:P2"/>
    <mergeCell ref="Q2:Y2"/>
    <mergeCell ref="Z2:AD2"/>
    <mergeCell ref="AE2:AG2"/>
    <mergeCell ref="AA24:AH24"/>
    <mergeCell ref="A3:D3"/>
    <mergeCell ref="E3:P3"/>
    <mergeCell ref="Q3:Y3"/>
    <mergeCell ref="Z3:AD3"/>
    <mergeCell ref="AE3:AG3"/>
    <mergeCell ref="A4:D4"/>
    <mergeCell ref="E4:P4"/>
    <mergeCell ref="Q4:Y4"/>
    <mergeCell ref="Z4:AD4"/>
    <mergeCell ref="AE4:AG4"/>
    <mergeCell ref="A5:D5"/>
    <mergeCell ref="Q5:Y5"/>
    <mergeCell ref="Z5:AD5"/>
    <mergeCell ref="AE5:AG5"/>
  </mergeCells>
  <printOptions horizontalCentered="1"/>
  <pageMargins left="0.23622047244094499" right="0.23622047244094499" top="0.74803149606299202" bottom="0.74803149606299202" header="0.31496062992126" footer="0.31496062992126"/>
  <pageSetup paperSize="8" scale="66" fitToHeight="0" orientation="landscape" r:id="rId1"/>
  <headerFooter alignWithMargins="0">
    <oddHeader>&amp;L&amp;8&amp;G&amp;C&amp;"Arial,Bold"&amp;9LARSEN &amp; TOUBRO LIMITED- BAR BENDING SCHEDULE AT CHHATARPUR&amp;R&amp;"Arial,Bold"&amp;9Page №:(&amp;P)</oddHeader>
    <oddFooter>&amp;LBBS Program License Number: 164
Manomav Engineers Pvt. Ltd_x000D_&amp;1#&amp;"Calibri"&amp;8&amp;K000000 Sensitivit&amp;R&amp;"Tahoma,Regular"Prepared by                                            Checked b&amp;"Arial,Regular"y&amp;LBBS Program License Number: 164
Manomav Engineers Pvt. Ltd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38" r:id="rId5" name="MacroDisabledInformation">
          <controlPr defaultSize="0" print="0" autoLine="0" r:id="rId6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6</xdr:col>
                <xdr:colOff>311150</xdr:colOff>
                <xdr:row>4</xdr:row>
                <xdr:rowOff>254000</xdr:rowOff>
              </to>
            </anchor>
          </controlPr>
        </control>
      </mc:Choice>
      <mc:Fallback>
        <control shapeId="527371" r:id="rId5" name="MacroDisabledInformation"/>
      </mc:Fallback>
    </mc:AlternateContent>
    <mc:AlternateContent xmlns:mc="http://schemas.openxmlformats.org/markup-compatibility/2006">
      <mc:Choice Requires="x14">
        <control shapeId="527362" r:id="rId7" name="PrintOptionLabel">
          <controlPr defaultSize="0" autoLine="0" r:id="rId8">
            <anchor moveWithCells="1">
              <from>
                <xdr:col>1</xdr:col>
                <xdr:colOff>342900</xdr:colOff>
                <xdr:row>1</xdr:row>
                <xdr:rowOff>0</xdr:rowOff>
              </from>
              <to>
                <xdr:col>1</xdr:col>
                <xdr:colOff>349250</xdr:colOff>
                <xdr:row>1</xdr:row>
                <xdr:rowOff>19050</xdr:rowOff>
              </to>
            </anchor>
          </controlPr>
        </control>
      </mc:Choice>
      <mc:Fallback>
        <control shapeId="527362" r:id="rId7" name="PrintOptionLabel"/>
      </mc:Fallback>
    </mc:AlternateContent>
    <mc:AlternateContent xmlns:mc="http://schemas.openxmlformats.org/markup-compatibility/2006">
      <mc:Choice Requires="x14">
        <control shapeId="527363" r:id="rId9" name="BBSProgram">
          <controlPr defaultSize="0" autoLine="0" r:id="rId10">
            <anchor moveWithCells="1">
              <from>
                <xdr:col>5</xdr:col>
                <xdr:colOff>152400</xdr:colOff>
                <xdr:row>1</xdr:row>
                <xdr:rowOff>0</xdr:rowOff>
              </from>
              <to>
                <xdr:col>5</xdr:col>
                <xdr:colOff>158750</xdr:colOff>
                <xdr:row>1</xdr:row>
                <xdr:rowOff>19050</xdr:rowOff>
              </to>
            </anchor>
          </controlPr>
        </control>
      </mc:Choice>
      <mc:Fallback>
        <control shapeId="527363" r:id="rId9" name="BBSProgram"/>
      </mc:Fallback>
    </mc:AlternateContent>
    <mc:AlternateContent xmlns:mc="http://schemas.openxmlformats.org/markup-compatibility/2006">
      <mc:Choice Requires="x14">
        <control shapeId="527364" r:id="rId11" name="ProgramFileFullName">
          <controlPr defaultSize="0" autoLine="0" r:id="rId12">
            <anchor moveWithCells="1">
              <from>
                <xdr:col>5</xdr:col>
                <xdr:colOff>304800</xdr:colOff>
                <xdr:row>1</xdr:row>
                <xdr:rowOff>0</xdr:rowOff>
              </from>
              <to>
                <xdr:col>5</xdr:col>
                <xdr:colOff>311150</xdr:colOff>
                <xdr:row>1</xdr:row>
                <xdr:rowOff>19050</xdr:rowOff>
              </to>
            </anchor>
          </controlPr>
        </control>
      </mc:Choice>
      <mc:Fallback>
        <control shapeId="527364" r:id="rId11" name="ProgramFileFullName"/>
      </mc:Fallback>
    </mc:AlternateContent>
    <mc:AlternateContent xmlns:mc="http://schemas.openxmlformats.org/markup-compatibility/2006">
      <mc:Choice Requires="x14">
        <control shapeId="527365" r:id="rId13" name="AutomaticallyOpenProgramFile">
          <controlPr defaultSize="0" autoLine="0" r:id="rId14">
            <anchor moveWithCells="1">
              <from>
                <xdr:col>5</xdr:col>
                <xdr:colOff>457200</xdr:colOff>
                <xdr:row>1</xdr:row>
                <xdr:rowOff>0</xdr:rowOff>
              </from>
              <to>
                <xdr:col>5</xdr:col>
                <xdr:colOff>463550</xdr:colOff>
                <xdr:row>1</xdr:row>
                <xdr:rowOff>19050</xdr:rowOff>
              </to>
            </anchor>
          </controlPr>
        </control>
      </mc:Choice>
      <mc:Fallback>
        <control shapeId="527365" r:id="rId13" name="AutomaticallyOpenProgramFile"/>
      </mc:Fallback>
    </mc:AlternateContent>
    <mc:AlternateContent xmlns:mc="http://schemas.openxmlformats.org/markup-compatibility/2006">
      <mc:Choice Requires="x14">
        <control shapeId="527366" r:id="rId15" name="CodeColumn">
          <controlPr defaultSize="0" autoLine="0" r:id="rId16">
            <anchor moveWithCells="1">
              <from>
                <xdr:col>1</xdr:col>
                <xdr:colOff>63500</xdr:colOff>
                <xdr:row>1</xdr:row>
                <xdr:rowOff>0</xdr:rowOff>
              </from>
              <to>
                <xdr:col>1</xdr:col>
                <xdr:colOff>101600</xdr:colOff>
                <xdr:row>1</xdr:row>
                <xdr:rowOff>19050</xdr:rowOff>
              </to>
            </anchor>
          </controlPr>
        </control>
      </mc:Choice>
      <mc:Fallback>
        <control shapeId="527366" r:id="rId15" name="CodeColumn"/>
      </mc:Fallback>
    </mc:AlternateContent>
    <mc:AlternateContent xmlns:mc="http://schemas.openxmlformats.org/markup-compatibility/2006">
      <mc:Choice Requires="x14">
        <control shapeId="527367" r:id="rId17" name="LastRowOfSummary">
          <controlPr defaultSize="0" autoLine="0" r:id="rId18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1</xdr:col>
                <xdr:colOff>6350</xdr:colOff>
                <xdr:row>1</xdr:row>
                <xdr:rowOff>19050</xdr:rowOff>
              </to>
            </anchor>
          </controlPr>
        </control>
      </mc:Choice>
      <mc:Fallback>
        <control shapeId="527367" r:id="rId17" name="LastRowOfSummary"/>
      </mc:Fallback>
    </mc:AlternateContent>
    <mc:AlternateContent xmlns:mc="http://schemas.openxmlformats.org/markup-compatibility/2006">
      <mc:Choice Requires="x14">
        <control shapeId="527369" r:id="rId19" name="Capitalization">
          <controlPr defaultSize="0" autoLine="0" autoPict="0" r:id="rId20">
            <anchor moveWithCells="1">
              <from>
                <xdr:col>5</xdr:col>
                <xdr:colOff>609600</xdr:colOff>
                <xdr:row>8</xdr:row>
                <xdr:rowOff>0</xdr:rowOff>
              </from>
              <to>
                <xdr:col>5</xdr:col>
                <xdr:colOff>622300</xdr:colOff>
                <xdr:row>8</xdr:row>
                <xdr:rowOff>12700</xdr:rowOff>
              </to>
            </anchor>
          </controlPr>
        </control>
      </mc:Choice>
      <mc:Fallback>
        <control shapeId="527369" r:id="rId19" name="Capitalization"/>
      </mc:Fallback>
    </mc:AlternateContent>
    <mc:AlternateContent xmlns:mc="http://schemas.openxmlformats.org/markup-compatibility/2006">
      <mc:Choice Requires="x14">
        <control shapeId="527370" r:id="rId21" name="Registered">
          <controlPr defaultSize="0" autoLine="0" r:id="rId22">
            <anchor moveWithCells="1">
              <from>
                <xdr:col>1</xdr:col>
                <xdr:colOff>152400</xdr:colOff>
                <xdr:row>1</xdr:row>
                <xdr:rowOff>0</xdr:rowOff>
              </from>
              <to>
                <xdr:col>1</xdr:col>
                <xdr:colOff>158750</xdr:colOff>
                <xdr:row>1</xdr:row>
                <xdr:rowOff>19050</xdr:rowOff>
              </to>
            </anchor>
          </controlPr>
        </control>
      </mc:Choice>
      <mc:Fallback>
        <control shapeId="527370" r:id="rId21" name="Registere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4DB00-1E45-4BFD-BDA8-BB3F2C3A6DC8}">
  <sheetPr codeName="Sheet4">
    <tabColor theme="6" tint="-0.249977111117893"/>
  </sheetPr>
  <dimension ref="A3:A42"/>
  <sheetViews>
    <sheetView tabSelected="1" topLeftCell="A33" zoomScale="127" zoomScaleNormal="130" workbookViewId="0">
      <selection activeCell="D43" sqref="D43"/>
    </sheetView>
  </sheetViews>
  <sheetFormatPr defaultRowHeight="12.5" x14ac:dyDescent="0.25"/>
  <cols>
    <col min="3" max="3" width="20.6328125" customWidth="1"/>
  </cols>
  <sheetData>
    <row r="3" spans="1:1" ht="40" customHeight="1" x14ac:dyDescent="0.25">
      <c r="A3" s="41">
        <v>11</v>
      </c>
    </row>
    <row r="8" spans="1:1" ht="39.5" customHeight="1" x14ac:dyDescent="0.25">
      <c r="A8" s="41">
        <v>0</v>
      </c>
    </row>
    <row r="11" spans="1:1" ht="41.5" customHeight="1" x14ac:dyDescent="0.25">
      <c r="A11" s="91">
        <v>12</v>
      </c>
    </row>
    <row r="15" spans="1:1" x14ac:dyDescent="0.25">
      <c r="A15" s="92">
        <v>672</v>
      </c>
    </row>
    <row r="19" spans="1:1" x14ac:dyDescent="0.25">
      <c r="A19" s="92">
        <v>100</v>
      </c>
    </row>
    <row r="22" spans="1:1" x14ac:dyDescent="0.25">
      <c r="A22" s="92">
        <v>671</v>
      </c>
    </row>
    <row r="25" spans="1:1" x14ac:dyDescent="0.25">
      <c r="A25" s="92">
        <v>673</v>
      </c>
    </row>
    <row r="28" spans="1:1" x14ac:dyDescent="0.25">
      <c r="A28" s="92">
        <v>111</v>
      </c>
    </row>
    <row r="32" spans="1:1" x14ac:dyDescent="0.25">
      <c r="A32" s="92">
        <v>210</v>
      </c>
    </row>
    <row r="38" spans="1:1" x14ac:dyDescent="0.25">
      <c r="A38" s="92">
        <v>200</v>
      </c>
    </row>
    <row r="42" spans="1:1" x14ac:dyDescent="0.25">
      <c r="A42" s="92">
        <v>900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AF29B8-012B-4E55-9C76-CE03A1357A9B}">
  <sheetPr codeName="Sheet1"/>
  <dimension ref="C3:I3"/>
  <sheetViews>
    <sheetView workbookViewId="0">
      <selection activeCell="H6" sqref="H6"/>
    </sheetView>
  </sheetViews>
  <sheetFormatPr defaultRowHeight="30" customHeight="1" x14ac:dyDescent="0.25"/>
  <sheetData>
    <row r="3" spans="3:9" ht="30" customHeight="1" x14ac:dyDescent="0.25">
      <c r="C3" t="s">
        <v>8</v>
      </c>
      <c r="D3" t="s">
        <v>81</v>
      </c>
      <c r="E3" t="s">
        <v>10</v>
      </c>
      <c r="F3" t="s">
        <v>11</v>
      </c>
      <c r="G3" t="s">
        <v>12</v>
      </c>
      <c r="H3" t="s">
        <v>13</v>
      </c>
      <c r="I3" t="s">
        <v>14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0">
    <pageSetUpPr autoPageBreaks="0" fitToPage="1"/>
  </sheetPr>
  <dimension ref="A1:AE33"/>
  <sheetViews>
    <sheetView topLeftCell="T1" zoomScaleSheetLayoutView="85" workbookViewId="0">
      <pane ySplit="2" topLeftCell="A3" activePane="bottomLeft" state="frozen"/>
      <selection activeCell="T3" sqref="T3"/>
      <selection pane="bottomLeft" activeCell="U3" sqref="U3"/>
    </sheetView>
  </sheetViews>
  <sheetFormatPr defaultColWidth="9.1796875" defaultRowHeight="26.25" customHeight="1" x14ac:dyDescent="0.25"/>
  <cols>
    <col min="1" max="1" width="5.1796875" style="1" customWidth="1"/>
    <col min="2" max="2" width="15.81640625" style="1" customWidth="1"/>
    <col min="3" max="3" width="4.81640625" style="2" customWidth="1"/>
    <col min="4" max="4" width="6.1796875" style="1" customWidth="1"/>
    <col min="5" max="5" width="4.81640625" style="1" customWidth="1"/>
    <col min="6" max="6" width="5.81640625" style="2" customWidth="1"/>
    <col min="7" max="7" width="6.81640625" style="1" customWidth="1"/>
    <col min="8" max="8" width="5.453125" style="2" customWidth="1"/>
    <col min="9" max="10" width="5.1796875" style="1" customWidth="1"/>
    <col min="11" max="14" width="4.453125" style="1" customWidth="1"/>
    <col min="15" max="18" width="4.453125" style="1" hidden="1" customWidth="1"/>
    <col min="19" max="19" width="30.81640625" style="1" customWidth="1"/>
    <col min="20" max="20" width="7.1796875" style="1" customWidth="1"/>
    <col min="21" max="21" width="3" style="1" customWidth="1"/>
    <col min="22" max="22" width="12.1796875" style="1" customWidth="1"/>
    <col min="23" max="16384" width="9.1796875" style="1"/>
  </cols>
  <sheetData>
    <row r="1" spans="1:31" ht="12.5" x14ac:dyDescent="0.25">
      <c r="B1" s="1" t="s">
        <v>0</v>
      </c>
    </row>
    <row r="2" spans="1:31" s="3" customFormat="1" ht="26.25" customHeight="1" x14ac:dyDescent="0.25">
      <c r="A2" s="24" t="s">
        <v>1</v>
      </c>
      <c r="B2" s="24" t="s">
        <v>2</v>
      </c>
      <c r="C2" s="24" t="s">
        <v>3</v>
      </c>
      <c r="D2" s="24" t="s">
        <v>4</v>
      </c>
      <c r="E2" s="24" t="s">
        <v>5</v>
      </c>
      <c r="F2" s="24" t="s">
        <v>23</v>
      </c>
      <c r="G2" s="24" t="s">
        <v>6</v>
      </c>
      <c r="H2" s="25" t="s">
        <v>7</v>
      </c>
      <c r="I2" s="24" t="s">
        <v>8</v>
      </c>
      <c r="J2" s="24" t="s">
        <v>9</v>
      </c>
      <c r="K2" s="24" t="s">
        <v>10</v>
      </c>
      <c r="L2" s="24" t="s">
        <v>11</v>
      </c>
      <c r="M2" s="24" t="s">
        <v>12</v>
      </c>
      <c r="N2" s="24" t="s">
        <v>13</v>
      </c>
      <c r="O2" s="24" t="s">
        <v>14</v>
      </c>
      <c r="P2" s="24" t="s">
        <v>15</v>
      </c>
      <c r="Q2" s="24" t="s">
        <v>24</v>
      </c>
      <c r="R2" s="24" t="s">
        <v>25</v>
      </c>
      <c r="S2" s="24" t="s">
        <v>16</v>
      </c>
      <c r="T2" s="24" t="s">
        <v>22</v>
      </c>
    </row>
    <row r="3" spans="1:31" ht="26.25" customHeight="1" x14ac:dyDescent="0.3">
      <c r="A3" s="4"/>
      <c r="B3" s="4"/>
      <c r="C3" s="5"/>
      <c r="D3" s="6"/>
      <c r="E3" s="6"/>
      <c r="F3" s="7">
        <f t="shared" ref="F3:F33" si="0">D3*E3</f>
        <v>0</v>
      </c>
      <c r="G3" s="8"/>
      <c r="H3" s="9"/>
      <c r="I3" s="6"/>
      <c r="J3" s="6"/>
      <c r="K3" s="6"/>
      <c r="L3" s="10"/>
      <c r="M3" s="6"/>
      <c r="N3" s="6"/>
      <c r="O3" s="6"/>
      <c r="P3" s="6"/>
      <c r="Q3" s="6"/>
      <c r="R3" s="6"/>
      <c r="S3" s="11"/>
      <c r="T3" s="26" t="str">
        <f>IF(C3="","",ROUND(CHOOSE(MATCH(C3,{5,6,7,8,10,12,14,15,16,18,20,22,25,28,32,35,40,45},0),0.154,0.222,0.302,0.395,0.617,0.888,1.209,1.388,1.579,1.998,2.467,2.985,3.855,4.835,6.315,7.555,9.868,12.489)*D3*E3*G3/1000,3))</f>
        <v/>
      </c>
      <c r="V3" s="12" t="s">
        <v>26</v>
      </c>
      <c r="W3" s="13"/>
      <c r="X3" s="13"/>
      <c r="Y3" s="13"/>
      <c r="Z3" s="13"/>
      <c r="AA3" s="13"/>
      <c r="AB3" s="13"/>
      <c r="AC3" s="13"/>
      <c r="AD3" s="13"/>
      <c r="AE3" s="2"/>
    </row>
    <row r="4" spans="1:31" ht="26.25" customHeight="1" x14ac:dyDescent="0.25">
      <c r="A4" s="4"/>
      <c r="B4" s="4"/>
      <c r="C4" s="5"/>
      <c r="D4" s="6"/>
      <c r="E4" s="6"/>
      <c r="F4" s="7">
        <f t="shared" si="0"/>
        <v>0</v>
      </c>
      <c r="G4" s="8"/>
      <c r="H4" s="9"/>
      <c r="I4" s="6"/>
      <c r="J4" s="6"/>
      <c r="K4" s="6"/>
      <c r="L4" s="10"/>
      <c r="M4" s="6"/>
      <c r="N4" s="6"/>
      <c r="O4" s="6"/>
      <c r="P4" s="6"/>
      <c r="Q4" s="6"/>
      <c r="R4" s="6"/>
      <c r="S4" s="11"/>
      <c r="T4" s="26" t="str">
        <f>IF(C4="","",ROUND(CHOOSE(MATCH(C4,{5,6,7,8,10,12,14,15,16,18,20,22,25,28,32,35,40,45},0),0.154,0.222,0.302,0.395,0.617,0.888,1.209,1.388,1.579,1.998,2.467,2.985,3.855,4.835,6.315,7.555,9.868,12.489)*D4*E4*G4/1000,3))</f>
        <v/>
      </c>
      <c r="V4" s="14" t="s">
        <v>17</v>
      </c>
      <c r="W4" s="3"/>
      <c r="X4" s="3"/>
      <c r="Y4" s="3"/>
      <c r="Z4" s="3"/>
      <c r="AA4" s="3"/>
      <c r="AB4" s="3"/>
      <c r="AC4" s="3"/>
      <c r="AD4" s="3"/>
      <c r="AE4" s="2"/>
    </row>
    <row r="5" spans="1:31" ht="26.25" customHeight="1" thickBot="1" x14ac:dyDescent="0.3">
      <c r="A5" s="4"/>
      <c r="B5" s="4"/>
      <c r="C5" s="5"/>
      <c r="D5" s="6"/>
      <c r="E5" s="6"/>
      <c r="F5" s="7">
        <f t="shared" si="0"/>
        <v>0</v>
      </c>
      <c r="G5" s="8"/>
      <c r="H5" s="9"/>
      <c r="I5" s="6"/>
      <c r="J5" s="6"/>
      <c r="K5" s="6"/>
      <c r="L5" s="10"/>
      <c r="M5" s="6"/>
      <c r="N5" s="6"/>
      <c r="O5" s="6"/>
      <c r="P5" s="6"/>
      <c r="Q5" s="6"/>
      <c r="R5" s="6"/>
      <c r="S5" s="11"/>
      <c r="T5" s="26" t="str">
        <f>IF(C5="","",ROUND(CHOOSE(MATCH(C5,{5,6,7,8,10,12,14,15,16,18,20,22,25,28,32,35,40,45},0),0.154,0.222,0.302,0.395,0.617,0.888,1.209,1.388,1.579,1.998,2.467,2.985,3.855,4.835,6.315,7.555,9.868,12.489)*D5*E5*G5/1000,3))</f>
        <v/>
      </c>
      <c r="V5" s="14" t="s">
        <v>18</v>
      </c>
      <c r="AE5" s="2"/>
    </row>
    <row r="6" spans="1:31" ht="26.25" customHeight="1" thickTop="1" x14ac:dyDescent="0.25">
      <c r="A6" s="4"/>
      <c r="B6" s="4"/>
      <c r="C6" s="5"/>
      <c r="D6" s="6"/>
      <c r="E6" s="6"/>
      <c r="F6" s="7">
        <f t="shared" si="0"/>
        <v>0</v>
      </c>
      <c r="G6" s="8"/>
      <c r="H6" s="9"/>
      <c r="I6" s="6"/>
      <c r="J6" s="6"/>
      <c r="K6" s="6"/>
      <c r="L6" s="10"/>
      <c r="M6" s="6"/>
      <c r="N6" s="6"/>
      <c r="O6" s="6"/>
      <c r="P6" s="6"/>
      <c r="Q6" s="6"/>
      <c r="R6" s="6"/>
      <c r="S6" s="11"/>
      <c r="T6" s="26" t="str">
        <f>IF(C6="","",ROUND(CHOOSE(MATCH(C6,{5,6,7,8,10,12,14,15,16,18,20,22,25,28,32,35,40,45},0),0.154,0.222,0.302,0.395,0.617,0.888,1.209,1.388,1.579,1.998,2.467,2.985,3.855,4.835,6.315,7.555,9.868,12.489)*D6*E6*G6/1000,3))</f>
        <v/>
      </c>
      <c r="V6" s="15" t="s">
        <v>19</v>
      </c>
      <c r="W6" s="16"/>
      <c r="X6" s="16"/>
      <c r="Y6" s="16"/>
      <c r="Z6" s="16"/>
      <c r="AA6" s="16"/>
      <c r="AB6" s="16"/>
      <c r="AC6" s="16"/>
      <c r="AD6" s="17"/>
      <c r="AE6" s="2"/>
    </row>
    <row r="7" spans="1:31" ht="26.25" customHeight="1" x14ac:dyDescent="0.25">
      <c r="A7" s="4"/>
      <c r="B7" s="4"/>
      <c r="C7" s="5"/>
      <c r="D7" s="6"/>
      <c r="E7" s="6"/>
      <c r="F7" s="7">
        <f t="shared" si="0"/>
        <v>0</v>
      </c>
      <c r="G7" s="8"/>
      <c r="H7" s="9"/>
      <c r="I7" s="6"/>
      <c r="J7" s="6"/>
      <c r="K7" s="6"/>
      <c r="L7" s="10"/>
      <c r="M7" s="6"/>
      <c r="N7" s="6"/>
      <c r="O7" s="6"/>
      <c r="P7" s="6"/>
      <c r="Q7" s="6"/>
      <c r="R7" s="6"/>
      <c r="S7" s="11"/>
      <c r="T7" s="26" t="str">
        <f>IF(C7="","",ROUND(CHOOSE(MATCH(C7,{5,6,7,8,10,12,14,15,16,18,20,22,25,28,32,35,40,45},0),0.154,0.222,0.302,0.395,0.617,0.888,1.209,1.388,1.579,1.998,2.467,2.985,3.855,4.835,6.315,7.555,9.868,12.489)*D7*E7*G7/1000,3))</f>
        <v/>
      </c>
      <c r="V7" s="18" t="s">
        <v>20</v>
      </c>
      <c r="W7" s="19">
        <v>8</v>
      </c>
      <c r="X7" s="19">
        <v>10</v>
      </c>
      <c r="Y7" s="19">
        <v>12</v>
      </c>
      <c r="Z7" s="19">
        <v>16</v>
      </c>
      <c r="AA7" s="19">
        <v>20</v>
      </c>
      <c r="AB7" s="19">
        <v>25</v>
      </c>
      <c r="AC7" s="19">
        <v>32</v>
      </c>
      <c r="AD7" s="20" t="s">
        <v>21</v>
      </c>
      <c r="AE7" s="2"/>
    </row>
    <row r="8" spans="1:31" ht="26.25" customHeight="1" thickBot="1" x14ac:dyDescent="0.3">
      <c r="A8" s="4"/>
      <c r="B8" s="4"/>
      <c r="C8" s="5"/>
      <c r="D8" s="6"/>
      <c r="E8" s="6"/>
      <c r="F8" s="7">
        <f t="shared" si="0"/>
        <v>0</v>
      </c>
      <c r="G8" s="8"/>
      <c r="H8" s="9"/>
      <c r="I8" s="6"/>
      <c r="J8" s="6"/>
      <c r="K8" s="6"/>
      <c r="L8" s="10"/>
      <c r="M8" s="6"/>
      <c r="N8" s="6"/>
      <c r="O8" s="6"/>
      <c r="P8" s="6"/>
      <c r="Q8" s="6"/>
      <c r="R8" s="6"/>
      <c r="S8" s="11"/>
      <c r="T8" s="26" t="str">
        <f>IF(C8="","",ROUND(CHOOSE(MATCH(C8,{5,6,7,8,10,12,14,15,16,18,20,22,25,28,32,35,40,45},0),0.154,0.222,0.302,0.395,0.617,0.888,1.209,1.388,1.579,1.998,2.467,2.985,3.855,4.835,6.315,7.555,9.868,12.489)*D8*E8*G8/1000,3))</f>
        <v/>
      </c>
      <c r="V8" s="21" t="s">
        <v>22</v>
      </c>
      <c r="W8" s="22">
        <f t="shared" ref="W8:AC8" si="1">SUMIF($C:$C,W7,$T:$T)</f>
        <v>0</v>
      </c>
      <c r="X8" s="22">
        <f t="shared" si="1"/>
        <v>0</v>
      </c>
      <c r="Y8" s="22">
        <f t="shared" si="1"/>
        <v>0</v>
      </c>
      <c r="Z8" s="22">
        <f t="shared" si="1"/>
        <v>0</v>
      </c>
      <c r="AA8" s="22">
        <f t="shared" si="1"/>
        <v>0</v>
      </c>
      <c r="AB8" s="22">
        <f t="shared" si="1"/>
        <v>0</v>
      </c>
      <c r="AC8" s="22">
        <f t="shared" si="1"/>
        <v>0</v>
      </c>
      <c r="AD8" s="23">
        <f>SUM(W8:AC8)</f>
        <v>0</v>
      </c>
    </row>
    <row r="9" spans="1:31" ht="26.25" customHeight="1" thickTop="1" x14ac:dyDescent="0.25">
      <c r="A9" s="4"/>
      <c r="B9" s="4"/>
      <c r="C9" s="5"/>
      <c r="D9" s="6"/>
      <c r="E9" s="6"/>
      <c r="F9" s="7">
        <f t="shared" si="0"/>
        <v>0</v>
      </c>
      <c r="G9" s="8"/>
      <c r="H9" s="9"/>
      <c r="I9" s="6"/>
      <c r="J9" s="6"/>
      <c r="K9" s="6"/>
      <c r="L9" s="10"/>
      <c r="M9" s="6"/>
      <c r="N9" s="6"/>
      <c r="O9" s="6"/>
      <c r="P9" s="6"/>
      <c r="Q9" s="6"/>
      <c r="R9" s="6"/>
      <c r="S9" s="11"/>
      <c r="T9" s="26" t="str">
        <f>IF(C9="","",ROUND(CHOOSE(MATCH(C9,{5,6,7,8,10,12,14,15,16,18,20,22,25,28,32,35,40,45},0),0.154,0.222,0.302,0.395,0.617,0.888,1.209,1.388,1.579,1.998,2.467,2.985,3.855,4.835,6.315,7.555,9.868,12.489)*D9*E9*G9/1000,3))</f>
        <v/>
      </c>
    </row>
    <row r="10" spans="1:31" ht="26.25" customHeight="1" x14ac:dyDescent="0.25">
      <c r="A10" s="4"/>
      <c r="B10" s="4"/>
      <c r="C10" s="5"/>
      <c r="D10" s="6"/>
      <c r="E10" s="6"/>
      <c r="F10" s="7">
        <f t="shared" si="0"/>
        <v>0</v>
      </c>
      <c r="G10" s="8"/>
      <c r="H10" s="9"/>
      <c r="I10" s="6"/>
      <c r="J10" s="6"/>
      <c r="K10" s="6"/>
      <c r="L10" s="10"/>
      <c r="M10" s="6"/>
      <c r="N10" s="6"/>
      <c r="O10" s="6"/>
      <c r="P10" s="6"/>
      <c r="Q10" s="6"/>
      <c r="R10" s="6"/>
      <c r="S10" s="11"/>
      <c r="T10" s="26" t="str">
        <f>IF(C10="","",ROUND(CHOOSE(MATCH(C10,{5,6,7,8,10,12,14,15,16,18,20,22,25,28,32,35,40,45},0),0.154,0.222,0.302,0.395,0.617,0.888,1.209,1.388,1.579,1.998,2.467,2.985,3.855,4.835,6.315,7.555,9.868,12.489)*D10*E10*G10/1000,3))</f>
        <v/>
      </c>
    </row>
    <row r="11" spans="1:31" ht="26.25" customHeight="1" x14ac:dyDescent="0.25">
      <c r="A11" s="4"/>
      <c r="B11" s="4"/>
      <c r="C11" s="5"/>
      <c r="D11" s="6"/>
      <c r="E11" s="6"/>
      <c r="F11" s="7">
        <f t="shared" si="0"/>
        <v>0</v>
      </c>
      <c r="G11" s="8"/>
      <c r="H11" s="9"/>
      <c r="I11" s="6"/>
      <c r="J11" s="6"/>
      <c r="K11" s="6"/>
      <c r="L11" s="10"/>
      <c r="M11" s="6"/>
      <c r="N11" s="6"/>
      <c r="O11" s="6"/>
      <c r="P11" s="6"/>
      <c r="Q11" s="6"/>
      <c r="R11" s="6"/>
      <c r="S11" s="11"/>
      <c r="T11" s="26" t="str">
        <f>IF(C11="","",ROUND(CHOOSE(MATCH(C11,{5,6,7,8,10,12,14,15,16,18,20,22,25,28,32,35,40,45},0),0.154,0.222,0.302,0.395,0.617,0.888,1.209,1.388,1.579,1.998,2.467,2.985,3.855,4.835,6.315,7.555,9.868,12.489)*D11*E11*G11/1000,3))</f>
        <v/>
      </c>
    </row>
    <row r="12" spans="1:31" ht="26.25" customHeight="1" x14ac:dyDescent="0.25">
      <c r="A12" s="4"/>
      <c r="B12" s="4"/>
      <c r="C12" s="5"/>
      <c r="D12" s="6"/>
      <c r="E12" s="6"/>
      <c r="F12" s="7">
        <f t="shared" si="0"/>
        <v>0</v>
      </c>
      <c r="G12" s="8"/>
      <c r="H12" s="9"/>
      <c r="I12" s="6"/>
      <c r="J12" s="6"/>
      <c r="K12" s="6"/>
      <c r="L12" s="10"/>
      <c r="M12" s="6"/>
      <c r="N12" s="6"/>
      <c r="O12" s="6"/>
      <c r="P12" s="6"/>
      <c r="Q12" s="6"/>
      <c r="R12" s="6"/>
      <c r="S12" s="11"/>
      <c r="T12" s="26" t="str">
        <f>IF(C12="","",ROUND(CHOOSE(MATCH(C12,{5,6,7,8,10,12,14,15,16,18,20,22,25,28,32,35,40,45},0),0.154,0.222,0.302,0.395,0.617,0.888,1.209,1.388,1.579,1.998,2.467,2.985,3.855,4.835,6.315,7.555,9.868,12.489)*D12*E12*G12/1000,3))</f>
        <v/>
      </c>
    </row>
    <row r="13" spans="1:31" ht="26.25" customHeight="1" x14ac:dyDescent="0.25">
      <c r="A13" s="4"/>
      <c r="B13" s="4"/>
      <c r="C13" s="5"/>
      <c r="D13" s="6"/>
      <c r="E13" s="6"/>
      <c r="F13" s="7">
        <f t="shared" si="0"/>
        <v>0</v>
      </c>
      <c r="G13" s="8"/>
      <c r="H13" s="9"/>
      <c r="I13" s="6"/>
      <c r="J13" s="6"/>
      <c r="K13" s="6"/>
      <c r="L13" s="10"/>
      <c r="M13" s="6"/>
      <c r="N13" s="6"/>
      <c r="O13" s="6"/>
      <c r="P13" s="6"/>
      <c r="Q13" s="6"/>
      <c r="R13" s="6"/>
      <c r="S13" s="11"/>
      <c r="T13" s="26" t="str">
        <f>IF(C13="","",ROUND(CHOOSE(MATCH(C13,{5,6,7,8,10,12,14,15,16,18,20,22,25,28,32,35,40,45},0),0.154,0.222,0.302,0.395,0.617,0.888,1.209,1.388,1.579,1.998,2.467,2.985,3.855,4.835,6.315,7.555,9.868,12.489)*D13*E13*G13/1000,3))</f>
        <v/>
      </c>
    </row>
    <row r="14" spans="1:31" ht="26.25" customHeight="1" x14ac:dyDescent="0.25">
      <c r="A14" s="4"/>
      <c r="B14" s="4"/>
      <c r="C14" s="5"/>
      <c r="D14" s="6"/>
      <c r="E14" s="6"/>
      <c r="F14" s="7">
        <f t="shared" si="0"/>
        <v>0</v>
      </c>
      <c r="G14" s="8"/>
      <c r="H14" s="9"/>
      <c r="I14" s="6"/>
      <c r="J14" s="6"/>
      <c r="K14" s="6"/>
      <c r="L14" s="10"/>
      <c r="M14" s="6"/>
      <c r="N14" s="6"/>
      <c r="O14" s="6"/>
      <c r="P14" s="6"/>
      <c r="Q14" s="6"/>
      <c r="R14" s="6"/>
      <c r="S14" s="11"/>
      <c r="T14" s="26" t="str">
        <f>IF(C14="","",ROUND(CHOOSE(MATCH(C14,{5,6,7,8,10,12,14,15,16,18,20,22,25,28,32,35,40,45},0),0.154,0.222,0.302,0.395,0.617,0.888,1.209,1.388,1.579,1.998,2.467,2.985,3.855,4.835,6.315,7.555,9.868,12.489)*D14*E14*G14/1000,3))</f>
        <v/>
      </c>
    </row>
    <row r="15" spans="1:31" ht="26.25" customHeight="1" x14ac:dyDescent="0.25">
      <c r="A15" s="4"/>
      <c r="B15" s="4"/>
      <c r="C15" s="5"/>
      <c r="D15" s="6"/>
      <c r="E15" s="6"/>
      <c r="F15" s="7">
        <f t="shared" si="0"/>
        <v>0</v>
      </c>
      <c r="G15" s="8"/>
      <c r="H15" s="9"/>
      <c r="I15" s="6"/>
      <c r="J15" s="6"/>
      <c r="K15" s="6"/>
      <c r="L15" s="10"/>
      <c r="M15" s="6"/>
      <c r="N15" s="6"/>
      <c r="O15" s="6"/>
      <c r="P15" s="6"/>
      <c r="Q15" s="6"/>
      <c r="R15" s="6"/>
      <c r="S15" s="11"/>
      <c r="T15" s="26" t="str">
        <f>IF(C15="","",ROUND(CHOOSE(MATCH(C15,{5,6,7,8,10,12,14,15,16,18,20,22,25,28,32,35,40,45},0),0.154,0.222,0.302,0.395,0.617,0.888,1.209,1.388,1.579,1.998,2.467,2.985,3.855,4.835,6.315,7.555,9.868,12.489)*D15*E15*G15/1000,3))</f>
        <v/>
      </c>
    </row>
    <row r="16" spans="1:31" ht="26.25" customHeight="1" x14ac:dyDescent="0.25">
      <c r="A16" s="4"/>
      <c r="B16" s="4"/>
      <c r="C16" s="5"/>
      <c r="D16" s="6"/>
      <c r="E16" s="6"/>
      <c r="F16" s="7"/>
      <c r="G16" s="8"/>
      <c r="H16" s="9"/>
      <c r="I16" s="6"/>
      <c r="J16" s="6"/>
      <c r="K16" s="6"/>
      <c r="L16" s="10"/>
      <c r="M16" s="6"/>
      <c r="N16" s="6"/>
      <c r="O16" s="6"/>
      <c r="P16" s="6"/>
      <c r="Q16" s="6"/>
      <c r="R16" s="6"/>
      <c r="S16" s="11"/>
      <c r="T16" s="26" t="str">
        <f>IF(C16="","",ROUND(CHOOSE(MATCH(C16,{5,6,7,8,10,12,14,15,16,18,20,22,25,28,32,35,40,45},0),0.154,0.222,0.302,0.395,0.617,0.888,1.209,1.388,1.579,1.998,2.467,2.985,3.855,4.835,6.315,7.555,9.868,12.489)*D16*E16*G16/1000,3))</f>
        <v/>
      </c>
    </row>
    <row r="17" spans="1:20" ht="26.25" customHeight="1" x14ac:dyDescent="0.25">
      <c r="A17" s="4"/>
      <c r="B17" s="4"/>
      <c r="C17" s="5"/>
      <c r="D17" s="6"/>
      <c r="E17" s="6"/>
      <c r="F17" s="7">
        <f t="shared" si="0"/>
        <v>0</v>
      </c>
      <c r="G17" s="8"/>
      <c r="H17" s="9"/>
      <c r="I17" s="6"/>
      <c r="J17" s="6"/>
      <c r="K17" s="6"/>
      <c r="L17" s="10"/>
      <c r="M17" s="6"/>
      <c r="N17" s="6"/>
      <c r="O17" s="6"/>
      <c r="P17" s="6"/>
      <c r="Q17" s="6"/>
      <c r="R17" s="6"/>
      <c r="S17" s="11"/>
      <c r="T17" s="26" t="str">
        <f>IF(C17="","",ROUND(CHOOSE(MATCH(C17,{5,6,7,8,10,12,14,15,16,18,20,22,25,28,32,35,40,45},0),0.154,0.222,0.302,0.395,0.617,0.888,1.209,1.388,1.579,1.998,2.467,2.985,3.855,4.835,6.315,7.555,9.868,12.489)*D17*E17*G17/1000,3))</f>
        <v/>
      </c>
    </row>
    <row r="18" spans="1:20" ht="26.25" customHeight="1" x14ac:dyDescent="0.25">
      <c r="A18" s="4"/>
      <c r="B18" s="4"/>
      <c r="C18" s="5"/>
      <c r="D18" s="6"/>
      <c r="E18" s="6"/>
      <c r="F18" s="7">
        <f t="shared" si="0"/>
        <v>0</v>
      </c>
      <c r="G18" s="8"/>
      <c r="H18" s="9"/>
      <c r="I18" s="6"/>
      <c r="J18" s="6"/>
      <c r="K18" s="6"/>
      <c r="L18" s="10"/>
      <c r="M18" s="6"/>
      <c r="N18" s="6"/>
      <c r="O18" s="6"/>
      <c r="P18" s="6"/>
      <c r="Q18" s="6"/>
      <c r="R18" s="6"/>
      <c r="S18" s="11"/>
      <c r="T18" s="26" t="str">
        <f>IF(C18="","",ROUND(CHOOSE(MATCH(C18,{5,6,7,8,10,12,14,15,16,18,20,22,25,28,32,35,40,45},0),0.154,0.222,0.302,0.395,0.617,0.888,1.209,1.388,1.579,1.998,2.467,2.985,3.855,4.835,6.315,7.555,9.868,12.489)*D18*E18*G18/1000,3))</f>
        <v/>
      </c>
    </row>
    <row r="19" spans="1:20" ht="26.25" customHeight="1" x14ac:dyDescent="0.25">
      <c r="A19" s="4"/>
      <c r="B19" s="4"/>
      <c r="C19" s="5"/>
      <c r="D19" s="6"/>
      <c r="E19" s="6"/>
      <c r="F19" s="7">
        <f t="shared" si="0"/>
        <v>0</v>
      </c>
      <c r="G19" s="8"/>
      <c r="H19" s="9"/>
      <c r="I19" s="6"/>
      <c r="J19" s="6"/>
      <c r="K19" s="6"/>
      <c r="L19" s="10"/>
      <c r="M19" s="6"/>
      <c r="N19" s="6"/>
      <c r="O19" s="6"/>
      <c r="P19" s="6"/>
      <c r="Q19" s="6"/>
      <c r="R19" s="6"/>
      <c r="S19" s="11"/>
      <c r="T19" s="26" t="str">
        <f>IF(C19="","",ROUND(CHOOSE(MATCH(C19,{5,6,7,8,10,12,14,15,16,18,20,22,25,28,32,35,40,45},0),0.154,0.222,0.302,0.395,0.617,0.888,1.209,1.388,1.579,1.998,2.467,2.985,3.855,4.835,6.315,7.555,9.868,12.489)*D19*E19*G19/1000,3))</f>
        <v/>
      </c>
    </row>
    <row r="20" spans="1:20" ht="26.25" customHeight="1" x14ac:dyDescent="0.25">
      <c r="A20" s="4"/>
      <c r="B20" s="4"/>
      <c r="C20" s="5"/>
      <c r="D20" s="6"/>
      <c r="E20" s="6"/>
      <c r="F20" s="7">
        <f t="shared" si="0"/>
        <v>0</v>
      </c>
      <c r="G20" s="8"/>
      <c r="H20" s="9"/>
      <c r="I20" s="6"/>
      <c r="J20" s="6"/>
      <c r="K20" s="6"/>
      <c r="L20" s="10"/>
      <c r="M20" s="6"/>
      <c r="N20" s="6"/>
      <c r="O20" s="6"/>
      <c r="P20" s="6"/>
      <c r="Q20" s="6"/>
      <c r="R20" s="6"/>
      <c r="S20" s="11"/>
      <c r="T20" s="26" t="str">
        <f>IF(C20="","",ROUND(CHOOSE(MATCH(C20,{5,6,7,8,10,12,14,15,16,18,20,22,25,28,32,35,40,45},0),0.154,0.222,0.302,0.395,0.617,0.888,1.209,1.388,1.579,1.998,2.467,2.985,3.855,4.835,6.315,7.555,9.868,12.489)*D20*E20*G20/1000,3))</f>
        <v/>
      </c>
    </row>
    <row r="21" spans="1:20" ht="26.25" customHeight="1" x14ac:dyDescent="0.25">
      <c r="A21" s="4"/>
      <c r="B21" s="4"/>
      <c r="C21" s="5"/>
      <c r="D21" s="6"/>
      <c r="E21" s="6"/>
      <c r="F21" s="7">
        <f t="shared" si="0"/>
        <v>0</v>
      </c>
      <c r="G21" s="8"/>
      <c r="H21" s="9"/>
      <c r="I21" s="6"/>
      <c r="J21" s="6"/>
      <c r="K21" s="6"/>
      <c r="L21" s="10"/>
      <c r="M21" s="6"/>
      <c r="N21" s="6"/>
      <c r="O21" s="6"/>
      <c r="P21" s="6"/>
      <c r="Q21" s="6"/>
      <c r="R21" s="6"/>
      <c r="S21" s="11"/>
      <c r="T21" s="26" t="str">
        <f>IF(C21="","",ROUND(CHOOSE(MATCH(C21,{5,6,7,8,10,12,14,15,16,18,20,22,25,28,32,35,40,45},0),0.154,0.222,0.302,0.395,0.617,0.888,1.209,1.388,1.579,1.998,2.467,2.985,3.855,4.835,6.315,7.555,9.868,12.489)*D21*E21*G21/1000,3))</f>
        <v/>
      </c>
    </row>
    <row r="22" spans="1:20" ht="26.25" customHeight="1" x14ac:dyDescent="0.25">
      <c r="A22" s="4"/>
      <c r="B22" s="4"/>
      <c r="C22" s="5"/>
      <c r="D22" s="6"/>
      <c r="E22" s="6"/>
      <c r="F22" s="7">
        <f t="shared" si="0"/>
        <v>0</v>
      </c>
      <c r="G22" s="8"/>
      <c r="H22" s="9"/>
      <c r="I22" s="6"/>
      <c r="J22" s="6"/>
      <c r="K22" s="6"/>
      <c r="L22" s="10"/>
      <c r="M22" s="6"/>
      <c r="N22" s="6"/>
      <c r="O22" s="6"/>
      <c r="P22" s="6"/>
      <c r="Q22" s="6"/>
      <c r="R22" s="6"/>
      <c r="S22" s="11"/>
      <c r="T22" s="26" t="str">
        <f>IF(C22="","",ROUND(CHOOSE(MATCH(C22,{5,6,7,8,10,12,14,15,16,18,20,22,25,28,32,35,40,45},0),0.154,0.222,0.302,0.395,0.617,0.888,1.209,1.388,1.579,1.998,2.467,2.985,3.855,4.835,6.315,7.555,9.868,12.489)*D22*E22*G22/1000,3))</f>
        <v/>
      </c>
    </row>
    <row r="23" spans="1:20" ht="26.25" customHeight="1" x14ac:dyDescent="0.25">
      <c r="A23" s="4"/>
      <c r="B23" s="4"/>
      <c r="C23" s="5"/>
      <c r="D23" s="6"/>
      <c r="E23" s="6"/>
      <c r="F23" s="7">
        <f t="shared" si="0"/>
        <v>0</v>
      </c>
      <c r="G23" s="8"/>
      <c r="H23" s="9"/>
      <c r="I23" s="6"/>
      <c r="J23" s="6"/>
      <c r="K23" s="6"/>
      <c r="L23" s="10"/>
      <c r="M23" s="6"/>
      <c r="N23" s="6"/>
      <c r="O23" s="6"/>
      <c r="P23" s="6"/>
      <c r="Q23" s="6"/>
      <c r="R23" s="6"/>
      <c r="S23" s="11"/>
      <c r="T23" s="26" t="str">
        <f>IF(C23="","",ROUND(CHOOSE(MATCH(C23,{5,6,7,8,10,12,14,15,16,18,20,22,25,28,32,35,40,45},0),0.154,0.222,0.302,0.395,0.617,0.888,1.209,1.388,1.579,1.998,2.467,2.985,3.855,4.835,6.315,7.555,9.868,12.489)*D23*E23*G23/1000,3))</f>
        <v/>
      </c>
    </row>
    <row r="24" spans="1:20" ht="26.25" customHeight="1" x14ac:dyDescent="0.25">
      <c r="A24" s="4"/>
      <c r="B24" s="4"/>
      <c r="C24" s="5"/>
      <c r="D24" s="6"/>
      <c r="E24" s="6"/>
      <c r="F24" s="7">
        <f t="shared" si="0"/>
        <v>0</v>
      </c>
      <c r="G24" s="8"/>
      <c r="H24" s="9"/>
      <c r="I24" s="6"/>
      <c r="J24" s="6"/>
      <c r="K24" s="6"/>
      <c r="L24" s="10"/>
      <c r="M24" s="6"/>
      <c r="N24" s="6"/>
      <c r="O24" s="6"/>
      <c r="P24" s="6"/>
      <c r="Q24" s="6"/>
      <c r="R24" s="6"/>
      <c r="S24" s="11"/>
      <c r="T24" s="26" t="str">
        <f>IF(C24="","",ROUND(CHOOSE(MATCH(C24,{5,6,7,8,10,12,14,15,16,18,20,22,25,28,32,35,40,45},0),0.154,0.222,0.302,0.395,0.617,0.888,1.209,1.388,1.579,1.998,2.467,2.985,3.855,4.835,6.315,7.555,9.868,12.489)*D24*E24*G24/1000,3))</f>
        <v/>
      </c>
    </row>
    <row r="25" spans="1:20" ht="26.25" customHeight="1" x14ac:dyDescent="0.25">
      <c r="A25" s="4"/>
      <c r="B25" s="4"/>
      <c r="C25" s="5"/>
      <c r="D25" s="6"/>
      <c r="E25" s="6"/>
      <c r="F25" s="7">
        <f t="shared" si="0"/>
        <v>0</v>
      </c>
      <c r="G25" s="8"/>
      <c r="H25" s="9"/>
      <c r="I25" s="6"/>
      <c r="J25" s="6"/>
      <c r="K25" s="6"/>
      <c r="L25" s="10"/>
      <c r="M25" s="6"/>
      <c r="N25" s="6"/>
      <c r="O25" s="6"/>
      <c r="P25" s="6"/>
      <c r="Q25" s="6"/>
      <c r="R25" s="6"/>
      <c r="S25" s="11"/>
      <c r="T25" s="26" t="str">
        <f>IF(C25="","",ROUND(CHOOSE(MATCH(C25,{5,6,7,8,10,12,14,15,16,18,20,22,25,28,32,35,40,45},0),0.154,0.222,0.302,0.395,0.617,0.888,1.209,1.388,1.579,1.998,2.467,2.985,3.855,4.835,6.315,7.555,9.868,12.489)*D25*E25*G25/1000,3))</f>
        <v/>
      </c>
    </row>
    <row r="26" spans="1:20" ht="26.25" customHeight="1" x14ac:dyDescent="0.25">
      <c r="A26" s="4"/>
      <c r="B26" s="4"/>
      <c r="C26" s="5"/>
      <c r="D26" s="6"/>
      <c r="E26" s="6"/>
      <c r="F26" s="7">
        <f t="shared" si="0"/>
        <v>0</v>
      </c>
      <c r="G26" s="8"/>
      <c r="H26" s="9"/>
      <c r="I26" s="6"/>
      <c r="J26" s="6"/>
      <c r="K26" s="6"/>
      <c r="L26" s="10"/>
      <c r="M26" s="6"/>
      <c r="N26" s="6"/>
      <c r="O26" s="6"/>
      <c r="P26" s="6"/>
      <c r="Q26" s="6"/>
      <c r="R26" s="6"/>
      <c r="S26" s="11"/>
      <c r="T26" s="26" t="str">
        <f>IF(C26="","",ROUND(CHOOSE(MATCH(C26,{5,6,7,8,10,12,14,15,16,18,20,22,25,28,32,35,40,45},0),0.154,0.222,0.302,0.395,0.617,0.888,1.209,1.388,1.579,1.998,2.467,2.985,3.855,4.835,6.315,7.555,9.868,12.489)*D26*E26*G26/1000,3))</f>
        <v/>
      </c>
    </row>
    <row r="27" spans="1:20" ht="26.25" customHeight="1" x14ac:dyDescent="0.25">
      <c r="A27" s="4"/>
      <c r="B27" s="4"/>
      <c r="C27" s="5"/>
      <c r="D27" s="6"/>
      <c r="E27" s="6"/>
      <c r="F27" s="7">
        <f t="shared" si="0"/>
        <v>0</v>
      </c>
      <c r="G27" s="8"/>
      <c r="H27" s="9"/>
      <c r="I27" s="6"/>
      <c r="J27" s="6"/>
      <c r="K27" s="6"/>
      <c r="L27" s="10"/>
      <c r="M27" s="6"/>
      <c r="N27" s="6"/>
      <c r="O27" s="6"/>
      <c r="P27" s="6"/>
      <c r="Q27" s="6"/>
      <c r="R27" s="6"/>
      <c r="S27" s="11"/>
      <c r="T27" s="26" t="str">
        <f>IF(C27="","",ROUND(CHOOSE(MATCH(C27,{5,6,7,8,10,12,14,15,16,18,20,22,25,28,32,35,40,45},0),0.154,0.222,0.302,0.395,0.617,0.888,1.209,1.388,1.579,1.998,2.467,2.985,3.855,4.835,6.315,7.555,9.868,12.489)*D27*E27*G27/1000,3))</f>
        <v/>
      </c>
    </row>
    <row r="28" spans="1:20" ht="26.25" customHeight="1" x14ac:dyDescent="0.25">
      <c r="A28" s="4"/>
      <c r="B28" s="4"/>
      <c r="C28" s="5"/>
      <c r="D28" s="6"/>
      <c r="E28" s="6"/>
      <c r="F28" s="7">
        <f t="shared" si="0"/>
        <v>0</v>
      </c>
      <c r="G28" s="8"/>
      <c r="H28" s="9"/>
      <c r="I28" s="6"/>
      <c r="J28" s="6"/>
      <c r="K28" s="6"/>
      <c r="L28" s="10"/>
      <c r="M28" s="6"/>
      <c r="N28" s="6"/>
      <c r="O28" s="6"/>
      <c r="P28" s="6"/>
      <c r="Q28" s="6"/>
      <c r="R28" s="6"/>
      <c r="S28" s="11"/>
      <c r="T28" s="26" t="str">
        <f>IF(C28="","",ROUND(CHOOSE(MATCH(C28,{5,6,7,8,10,12,14,15,16,18,20,22,25,28,32,35,40,45},0),0.154,0.222,0.302,0.395,0.617,0.888,1.209,1.388,1.579,1.998,2.467,2.985,3.855,4.835,6.315,7.555,9.868,12.489)*D28*E28*G28/1000,3))</f>
        <v/>
      </c>
    </row>
    <row r="29" spans="1:20" ht="26.25" customHeight="1" x14ac:dyDescent="0.25">
      <c r="A29" s="4"/>
      <c r="B29" s="4"/>
      <c r="C29" s="5"/>
      <c r="D29" s="6"/>
      <c r="E29" s="6"/>
      <c r="F29" s="7">
        <f t="shared" si="0"/>
        <v>0</v>
      </c>
      <c r="G29" s="8"/>
      <c r="H29" s="9"/>
      <c r="I29" s="6"/>
      <c r="J29" s="6"/>
      <c r="K29" s="6"/>
      <c r="L29" s="10"/>
      <c r="M29" s="6"/>
      <c r="N29" s="6"/>
      <c r="O29" s="6"/>
      <c r="P29" s="6"/>
      <c r="Q29" s="6"/>
      <c r="R29" s="6"/>
      <c r="S29" s="11"/>
      <c r="T29" s="26" t="str">
        <f>IF(C29="","",ROUND(CHOOSE(MATCH(C29,{5,6,7,8,10,12,14,15,16,18,20,22,25,28,32,35,40,45},0),0.154,0.222,0.302,0.395,0.617,0.888,1.209,1.388,1.579,1.998,2.467,2.985,3.855,4.835,6.315,7.555,9.868,12.489)*D29*E29*G29/1000,3))</f>
        <v/>
      </c>
    </row>
    <row r="30" spans="1:20" ht="26.25" customHeight="1" x14ac:dyDescent="0.25">
      <c r="A30" s="4"/>
      <c r="B30" s="4"/>
      <c r="C30" s="5"/>
      <c r="D30" s="6"/>
      <c r="E30" s="6"/>
      <c r="F30" s="7">
        <f t="shared" si="0"/>
        <v>0</v>
      </c>
      <c r="G30" s="8"/>
      <c r="H30" s="9"/>
      <c r="I30" s="6"/>
      <c r="J30" s="6"/>
      <c r="K30" s="6"/>
      <c r="L30" s="10"/>
      <c r="M30" s="6"/>
      <c r="N30" s="6"/>
      <c r="O30" s="6"/>
      <c r="P30" s="6"/>
      <c r="Q30" s="6"/>
      <c r="R30" s="6"/>
      <c r="S30" s="11"/>
      <c r="T30" s="26" t="str">
        <f>IF(C30="","",ROUND(CHOOSE(MATCH(C30,{5,6,7,8,10,12,14,15,16,18,20,22,25,28,32,35,40,45},0),0.154,0.222,0.302,0.395,0.617,0.888,1.209,1.388,1.579,1.998,2.467,2.985,3.855,4.835,6.315,7.555,9.868,12.489)*D30*E30*G30/1000,3))</f>
        <v/>
      </c>
    </row>
    <row r="31" spans="1:20" ht="26.25" customHeight="1" x14ac:dyDescent="0.25">
      <c r="A31" s="4"/>
      <c r="B31" s="4"/>
      <c r="C31" s="5"/>
      <c r="D31" s="6"/>
      <c r="E31" s="6"/>
      <c r="F31" s="7">
        <f t="shared" si="0"/>
        <v>0</v>
      </c>
      <c r="G31" s="8"/>
      <c r="H31" s="9"/>
      <c r="I31" s="6"/>
      <c r="J31" s="6"/>
      <c r="K31" s="6"/>
      <c r="L31" s="10"/>
      <c r="M31" s="6"/>
      <c r="N31" s="6"/>
      <c r="O31" s="6"/>
      <c r="P31" s="6"/>
      <c r="Q31" s="6"/>
      <c r="R31" s="6"/>
      <c r="S31" s="11"/>
      <c r="T31" s="26" t="str">
        <f>IF(C31="","",ROUND(CHOOSE(MATCH(C31,{5,6,7,8,10,12,14,15,16,18,20,22,25,28,32,35,40,45},0),0.154,0.222,0.302,0.395,0.617,0.888,1.209,1.388,1.579,1.998,2.467,2.985,3.855,4.835,6.315,7.555,9.868,12.489)*D31*E31*G31/1000,3))</f>
        <v/>
      </c>
    </row>
    <row r="32" spans="1:20" ht="26.25" customHeight="1" x14ac:dyDescent="0.25">
      <c r="A32" s="4"/>
      <c r="B32" s="4"/>
      <c r="C32" s="5"/>
      <c r="D32" s="6"/>
      <c r="E32" s="6"/>
      <c r="F32" s="7">
        <f t="shared" si="0"/>
        <v>0</v>
      </c>
      <c r="G32" s="8"/>
      <c r="H32" s="9"/>
      <c r="I32" s="6"/>
      <c r="J32" s="6"/>
      <c r="K32" s="6"/>
      <c r="L32" s="10"/>
      <c r="M32" s="6"/>
      <c r="N32" s="6"/>
      <c r="O32" s="6"/>
      <c r="P32" s="6"/>
      <c r="Q32" s="6"/>
      <c r="R32" s="6"/>
      <c r="S32" s="11"/>
      <c r="T32" s="26" t="str">
        <f>IF(C32="","",ROUND(CHOOSE(MATCH(C32,{5,6,7,8,10,12,14,15,16,18,20,22,25,28,32,35,40,45},0),0.154,0.222,0.302,0.395,0.617,0.888,1.209,1.388,1.579,1.998,2.467,2.985,3.855,4.835,6.315,7.555,9.868,12.489)*D32*E32*G32/1000,3))</f>
        <v/>
      </c>
    </row>
    <row r="33" spans="1:20" ht="26.25" customHeight="1" x14ac:dyDescent="0.25">
      <c r="A33" s="4"/>
      <c r="B33" s="4"/>
      <c r="C33" s="5"/>
      <c r="D33" s="6"/>
      <c r="E33" s="6"/>
      <c r="F33" s="7">
        <f t="shared" si="0"/>
        <v>0</v>
      </c>
      <c r="G33" s="8"/>
      <c r="H33" s="9"/>
      <c r="I33" s="6"/>
      <c r="J33" s="6"/>
      <c r="K33" s="6"/>
      <c r="L33" s="10"/>
      <c r="M33" s="6"/>
      <c r="N33" s="6"/>
      <c r="O33" s="6"/>
      <c r="P33" s="6"/>
      <c r="Q33" s="6"/>
      <c r="R33" s="6"/>
      <c r="S33" s="11"/>
      <c r="T33" s="26" t="str">
        <f>IF(C33="","",ROUND(CHOOSE(MATCH(C33,{5,6,7,8,10,12,14,15,16,18,20,22,25,28,32,35,40,45},0),0.154,0.222,0.302,0.395,0.617,0.888,1.209,1.388,1.579,1.998,2.467,2.985,3.855,4.835,6.315,7.555,9.868,12.489)*D33*E33*G33/1000,3))</f>
        <v/>
      </c>
    </row>
  </sheetData>
  <phoneticPr fontId="3" type="noConversion"/>
  <dataValidations count="1">
    <dataValidation type="whole" allowBlank="1" showInputMessage="1" showErrorMessage="1" errorTitle="Bar size is not correct" error="Don't type any letters (like &quot;mm&quot; or &quot;T&quot;) with the dia of bar. Put the diameter number only." sqref="W7:AC7" xr:uid="{00000000-0002-0000-0400-000000000000}">
      <formula1>6</formula1>
      <formula2>40</formula2>
    </dataValidation>
  </dataValidations>
  <printOptions horizontalCentered="1"/>
  <pageMargins left="0.51181102362204722" right="0" top="0.11811023622047245" bottom="0.59055118110236227" header="0.11811023622047245" footer="0"/>
  <pageSetup paperSize="9" fitToHeight="0" orientation="portrait" r:id="rId1"/>
  <headerFooter alignWithMargins="0">
    <oddHeader>&amp;R&amp;8Page №:(&amp;P)</oddHeader>
    <oddFooter>&amp;LBBS Program License Number: 164
Manomav Engineers Pvt. Ltd_x000D_&amp;1#&amp;"Calibri"&amp;8&amp;K000000 Sensitivit&amp;R&amp;"Tahoma,Regular"Prepared by                                            Checked b&amp;"Arial,Regular"y&amp;LBBS Program License Number: 164
Manomav Engineers Pvt. Ltd</oddFooter>
  </headerFooter>
  <drawing r:id="rId2"/>
  <legacyDrawing r:id="rId3"/>
  <controls>
    <mc:AlternateContent xmlns:mc="http://schemas.openxmlformats.org/markup-compatibility/2006">
      <mc:Choice Requires="x14">
        <control shapeId="2049" r:id="rId4" name="MacroDisabledInformation">
          <controlPr defaultSize="0" print="0" autoLine="0" r:id="rId5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12</xdr:col>
                <xdr:colOff>254000</xdr:colOff>
                <xdr:row>7</xdr:row>
                <xdr:rowOff>152400</xdr:rowOff>
              </to>
            </anchor>
          </controlPr>
        </control>
      </mc:Choice>
      <mc:Fallback>
        <control shapeId="2049" r:id="rId4" name="MacroDisabledInformation"/>
      </mc:Fallback>
    </mc:AlternateContent>
    <mc:AlternateContent xmlns:mc="http://schemas.openxmlformats.org/markup-compatibility/2006">
      <mc:Choice Requires="x14">
        <control shapeId="2050" r:id="rId6" name="PrintOptionLabel">
          <controlPr defaultSize="0" autoLine="0" r:id="rId7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1</xdr:col>
                <xdr:colOff>6350</xdr:colOff>
                <xdr:row>0</xdr:row>
                <xdr:rowOff>6350</xdr:rowOff>
              </to>
            </anchor>
          </controlPr>
        </control>
      </mc:Choice>
      <mc:Fallback>
        <control shapeId="2050" r:id="rId6" name="PrintOptionLabel"/>
      </mc:Fallback>
    </mc:AlternateContent>
    <mc:AlternateContent xmlns:mc="http://schemas.openxmlformats.org/markup-compatibility/2006">
      <mc:Choice Requires="x14">
        <control shapeId="2051" r:id="rId8" name="BBSProgram">
          <controlPr defaultSize="0" autoLine="0" r:id="rId9">
            <anchor moveWithCells="1">
              <from>
                <xdr:col>1</xdr:col>
                <xdr:colOff>152400</xdr:colOff>
                <xdr:row>0</xdr:row>
                <xdr:rowOff>152400</xdr:rowOff>
              </from>
              <to>
                <xdr:col>1</xdr:col>
                <xdr:colOff>158750</xdr:colOff>
                <xdr:row>1</xdr:row>
                <xdr:rowOff>0</xdr:rowOff>
              </to>
            </anchor>
          </controlPr>
        </control>
      </mc:Choice>
      <mc:Fallback>
        <control shapeId="2051" r:id="rId8" name="BBSProgram"/>
      </mc:Fallback>
    </mc:AlternateContent>
    <mc:AlternateContent xmlns:mc="http://schemas.openxmlformats.org/markup-compatibility/2006">
      <mc:Choice Requires="x14">
        <control shapeId="2052" r:id="rId10" name="ProgramFileFullName">
          <controlPr defaultSize="0" autoLine="0" r:id="rId11">
            <anchor moveWithCells="1">
              <from>
                <xdr:col>1</xdr:col>
                <xdr:colOff>304800</xdr:colOff>
                <xdr:row>1</xdr:row>
                <xdr:rowOff>107950</xdr:rowOff>
              </from>
              <to>
                <xdr:col>1</xdr:col>
                <xdr:colOff>311150</xdr:colOff>
                <xdr:row>1</xdr:row>
                <xdr:rowOff>114300</xdr:rowOff>
              </to>
            </anchor>
          </controlPr>
        </control>
      </mc:Choice>
      <mc:Fallback>
        <control shapeId="2052" r:id="rId10" name="ProgramFileFullName"/>
      </mc:Fallback>
    </mc:AlternateContent>
    <mc:AlternateContent xmlns:mc="http://schemas.openxmlformats.org/markup-compatibility/2006">
      <mc:Choice Requires="x14">
        <control shapeId="2053" r:id="rId12" name="AutomaticallyOpenProgramFile">
          <controlPr defaultSize="0" autoLine="0" r:id="rId13">
            <anchor moveWithCells="1">
              <from>
                <xdr:col>1</xdr:col>
                <xdr:colOff>457200</xdr:colOff>
                <xdr:row>1</xdr:row>
                <xdr:rowOff>260350</xdr:rowOff>
              </from>
              <to>
                <xdr:col>1</xdr:col>
                <xdr:colOff>463550</xdr:colOff>
                <xdr:row>1</xdr:row>
                <xdr:rowOff>266700</xdr:rowOff>
              </to>
            </anchor>
          </controlPr>
        </control>
      </mc:Choice>
      <mc:Fallback>
        <control shapeId="2053" r:id="rId12" name="AutomaticallyOpenProgramFile"/>
      </mc:Fallback>
    </mc:AlternateContent>
    <mc:AlternateContent xmlns:mc="http://schemas.openxmlformats.org/markup-compatibility/2006">
      <mc:Choice Requires="x14">
        <control shapeId="2054" r:id="rId14" name="CodeColumn">
          <controlPr defaultSize="0" autoLine="0" r:id="rId15">
            <anchor moveWithCells="1">
              <from>
                <xdr:col>0</xdr:col>
                <xdr:colOff>63500</xdr:colOff>
                <xdr:row>0</xdr:row>
                <xdr:rowOff>63500</xdr:rowOff>
              </from>
              <to>
                <xdr:col>0</xdr:col>
                <xdr:colOff>82550</xdr:colOff>
                <xdr:row>0</xdr:row>
                <xdr:rowOff>82550</xdr:rowOff>
              </to>
            </anchor>
          </controlPr>
        </control>
      </mc:Choice>
      <mc:Fallback>
        <control shapeId="2054" r:id="rId14" name="CodeColumn"/>
      </mc:Fallback>
    </mc:AlternateContent>
    <mc:AlternateContent xmlns:mc="http://schemas.openxmlformats.org/markup-compatibility/2006">
      <mc:Choice Requires="x14">
        <control shapeId="2055" r:id="rId16" name="LastRowOfSummary">
          <controlPr defaultSize="0" autoLine="0" r:id="rId1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6350</xdr:colOff>
                <xdr:row>0</xdr:row>
                <xdr:rowOff>6350</xdr:rowOff>
              </to>
            </anchor>
          </controlPr>
        </control>
      </mc:Choice>
      <mc:Fallback>
        <control shapeId="2055" r:id="rId16" name="LastRowOfSummary"/>
      </mc:Fallback>
    </mc:AlternateContent>
    <mc:AlternateContent xmlns:mc="http://schemas.openxmlformats.org/markup-compatibility/2006">
      <mc:Choice Requires="x14">
        <control shapeId="2056" r:id="rId18" name="PrintOptionInformer">
          <controlPr defaultSize="0" print="0" autoLine="0" r:id="rId19">
            <anchor moveWithCells="1">
              <from>
                <xdr:col>18</xdr:col>
                <xdr:colOff>469900</xdr:colOff>
                <xdr:row>0</xdr:row>
                <xdr:rowOff>0</xdr:rowOff>
              </from>
              <to>
                <xdr:col>18</xdr:col>
                <xdr:colOff>1517650</xdr:colOff>
                <xdr:row>1</xdr:row>
                <xdr:rowOff>184150</xdr:rowOff>
              </to>
            </anchor>
          </controlPr>
        </control>
      </mc:Choice>
      <mc:Fallback>
        <control shapeId="2056" r:id="rId18" name="PrintOptionInformer"/>
      </mc:Fallback>
    </mc:AlternateContent>
    <mc:AlternateContent xmlns:mc="http://schemas.openxmlformats.org/markup-compatibility/2006">
      <mc:Choice Requires="x14">
        <control shapeId="2057" r:id="rId20" name="Guidelines">
          <controlPr defaultSize="0" print="0" autoLine="0" r:id="rId21">
            <anchor moveWithCells="1" sizeWithCells="1">
              <from>
                <xdr:col>21</xdr:col>
                <xdr:colOff>114300</xdr:colOff>
                <xdr:row>10</xdr:row>
                <xdr:rowOff>76200</xdr:rowOff>
              </from>
              <to>
                <xdr:col>29</xdr:col>
                <xdr:colOff>482600</xdr:colOff>
                <xdr:row>20</xdr:row>
                <xdr:rowOff>330200</xdr:rowOff>
              </to>
            </anchor>
          </controlPr>
        </control>
      </mc:Choice>
      <mc:Fallback>
        <control shapeId="2057" r:id="rId20" name="Guidelines"/>
      </mc:Fallback>
    </mc:AlternateContent>
    <mc:AlternateContent xmlns:mc="http://schemas.openxmlformats.org/markup-compatibility/2006">
      <mc:Choice Requires="x14">
        <control shapeId="2058" r:id="rId22" name="SaveTemplete">
          <controlPr defaultSize="0" print="0" autoLine="0" r:id="rId23">
            <anchor moveWithCells="1">
              <from>
                <xdr:col>21</xdr:col>
                <xdr:colOff>114300</xdr:colOff>
                <xdr:row>8</xdr:row>
                <xdr:rowOff>114300</xdr:rowOff>
              </from>
              <to>
                <xdr:col>23</xdr:col>
                <xdr:colOff>127000</xdr:colOff>
                <xdr:row>9</xdr:row>
                <xdr:rowOff>50800</xdr:rowOff>
              </to>
            </anchor>
          </controlPr>
        </control>
      </mc:Choice>
      <mc:Fallback>
        <control shapeId="2058" r:id="rId22" name="SaveTemplete"/>
      </mc:Fallback>
    </mc:AlternateContent>
    <mc:AlternateContent xmlns:mc="http://schemas.openxmlformats.org/markup-compatibility/2006">
      <mc:Choice Requires="x14">
        <control shapeId="2059" r:id="rId24" name="DoNotTypeInTemplate">
          <controlPr defaultSize="0" print="0" autoLine="0" r:id="rId25">
            <anchor>
              <from>
                <xdr:col>1</xdr:col>
                <xdr:colOff>107950</xdr:colOff>
                <xdr:row>7</xdr:row>
                <xdr:rowOff>279400</xdr:rowOff>
              </from>
              <to>
                <xdr:col>18</xdr:col>
                <xdr:colOff>1352550</xdr:colOff>
                <xdr:row>11</xdr:row>
                <xdr:rowOff>228600</xdr:rowOff>
              </to>
            </anchor>
          </controlPr>
        </control>
      </mc:Choice>
      <mc:Fallback>
        <control shapeId="2059" r:id="rId24" name="DoNotTypeInTemplate"/>
      </mc:Fallback>
    </mc:AlternateContent>
    <mc:AlternateContent xmlns:mc="http://schemas.openxmlformats.org/markup-compatibility/2006">
      <mc:Choice Requires="x14">
        <control shapeId="2060" r:id="rId26" name="Capitalization">
          <controlPr defaultSize="0" autoLine="0" r:id="rId27">
            <anchor moveWithCells="1">
              <from>
                <xdr:col>1</xdr:col>
                <xdr:colOff>609600</xdr:colOff>
                <xdr:row>2</xdr:row>
                <xdr:rowOff>0</xdr:rowOff>
              </from>
              <to>
                <xdr:col>1</xdr:col>
                <xdr:colOff>615950</xdr:colOff>
                <xdr:row>2</xdr:row>
                <xdr:rowOff>6350</xdr:rowOff>
              </to>
            </anchor>
          </controlPr>
        </control>
      </mc:Choice>
      <mc:Fallback>
        <control shapeId="2060" r:id="rId26" name="Capitalization"/>
      </mc:Fallback>
    </mc:AlternateContent>
    <mc:AlternateContent xmlns:mc="http://schemas.openxmlformats.org/markup-compatibility/2006">
      <mc:Choice Requires="x14">
        <control shapeId="2061" r:id="rId28" name="Registered">
          <controlPr defaultSize="0" autoLine="0" r:id="rId29">
            <anchor moveWithCells="1">
              <from>
                <xdr:col>0</xdr:col>
                <xdr:colOff>152400</xdr:colOff>
                <xdr:row>0</xdr:row>
                <xdr:rowOff>152400</xdr:rowOff>
              </from>
              <to>
                <xdr:col>0</xdr:col>
                <xdr:colOff>158750</xdr:colOff>
                <xdr:row>1</xdr:row>
                <xdr:rowOff>0</xdr:rowOff>
              </to>
            </anchor>
          </controlPr>
        </control>
      </mc:Choice>
      <mc:Fallback>
        <control shapeId="2061" r:id="rId28" name="Registered"/>
      </mc:Fallback>
    </mc:AlternateContent>
    <mc:AlternateContent xmlns:mc="http://schemas.openxmlformats.org/markup-compatibility/2006">
      <mc:Choice Requires="x14">
        <control shapeId="2062" r:id="rId30" name="Open_OptionsForm">
          <controlPr defaultSize="0" print="0" autoLine="0" r:id="rId31">
            <anchor moveWithCells="1">
              <from>
                <xdr:col>20</xdr:col>
                <xdr:colOff>25400</xdr:colOff>
                <xdr:row>0</xdr:row>
                <xdr:rowOff>0</xdr:rowOff>
              </from>
              <to>
                <xdr:col>21</xdr:col>
                <xdr:colOff>425450</xdr:colOff>
                <xdr:row>1</xdr:row>
                <xdr:rowOff>69850</xdr:rowOff>
              </to>
            </anchor>
          </controlPr>
        </control>
      </mc:Choice>
      <mc:Fallback>
        <control shapeId="2062" r:id="rId30" name="Open_OptionsForm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�� 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7F4CBD91CC3DE4BA9E10FCB396F3087" ma:contentTypeVersion="5" ma:contentTypeDescription="Create a new document." ma:contentTypeScope="" ma:versionID="d2a773b423674630f8f660dc63e135d7">
  <xsd:schema xmlns:xsd="http://www.w3.org/2001/XMLSchema" xmlns:xs="http://www.w3.org/2001/XMLSchema" xmlns:p="http://schemas.microsoft.com/office/2006/metadata/properties" xmlns:ns3="e71b029c-b65d-402d-8297-a9b3c8070ec5" targetNamespace="http://schemas.microsoft.com/office/2006/metadata/properties" ma:root="true" ma:fieldsID="2bf1151ac093741a37f9b59e0c6ed63e" ns3:_="">
    <xsd:import namespace="e71b029c-b65d-402d-8297-a9b3c8070ec5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71b029c-b65d-402d-8297-a9b3c8070ec5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E73F95E-EAC5-44ED-B5CF-2A29450987E2}">
  <ds:schemaRefs>
    <ds:schemaRef ds:uri="http://schemas.microsoft.com/office/infopath/2007/PartnerControls"/>
    <ds:schemaRef ds:uri="e71b029c-b65d-402d-8297-a9b3c8070ec5"/>
    <ds:schemaRef ds:uri="http://schemas.microsoft.com/office/2006/documentManagement/types"/>
    <ds:schemaRef ds:uri="http://purl.org/dc/elements/1.1/"/>
    <ds:schemaRef ds:uri="http://purl.org/dc/terms/"/>
    <ds:schemaRef ds:uri="http://schemas.openxmlformats.org/package/2006/metadata/core-properties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56AF8AB0-25D4-4959-8883-166F8E49533A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6FD6D39-010C-4A0B-86CC-785F6850A1EE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7477CB70-CB34-4CC5-9052-68EC9B054C9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71b029c-b65d-402d-8297-a9b3c8070ec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LINAC 8</vt:lpstr>
      <vt:lpstr>ShapeLibrary</vt:lpstr>
      <vt:lpstr>Sheet1</vt:lpstr>
      <vt:lpstr>'LINAC 8'!Print_Area</vt:lpstr>
      <vt:lpstr>'Sheet()'!Print_Area</vt:lpstr>
      <vt:lpstr>'LINAC 8'!Print_Titles</vt:lpstr>
      <vt:lpstr>'Sheet()'!Print_Titles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syatem</dc:creator>
  <cp:lastModifiedBy>AZAZ SHAIKH</cp:lastModifiedBy>
  <cp:lastPrinted>2018-02-15T13:03:08Z</cp:lastPrinted>
  <dcterms:created xsi:type="dcterms:W3CDTF">2013-08-10T04:36:01Z</dcterms:created>
  <dcterms:modified xsi:type="dcterms:W3CDTF">2025-12-06T10:11:07Z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c52bb50-aef2-4dc8-bb7f-e0da22648362_Enabled">
    <vt:lpwstr>true</vt:lpwstr>
  </property>
  <property fmtid="{D5CDD505-2E9C-101B-9397-08002B2CF9AE}" pid="3" name="MSIP_Label_ac52bb50-aef2-4dc8-bb7f-e0da22648362_SetDate">
    <vt:lpwstr>2024-11-15T13:49:58Z</vt:lpwstr>
  </property>
  <property fmtid="{D5CDD505-2E9C-101B-9397-08002B2CF9AE}" pid="4" name="MSIP_Label_ac52bb50-aef2-4dc8-bb7f-e0da22648362_Method">
    <vt:lpwstr>Standard</vt:lpwstr>
  </property>
  <property fmtid="{D5CDD505-2E9C-101B-9397-08002B2CF9AE}" pid="5" name="MSIP_Label_ac52bb50-aef2-4dc8-bb7f-e0da22648362_Name">
    <vt:lpwstr>ac52bb50-aef2-4dc8-bb7f-e0da22648362</vt:lpwstr>
  </property>
  <property fmtid="{D5CDD505-2E9C-101B-9397-08002B2CF9AE}" pid="6" name="MSIP_Label_ac52bb50-aef2-4dc8-bb7f-e0da22648362_SiteId">
    <vt:lpwstr>264b9899-fe1b-430b-9509-2154878d5774</vt:lpwstr>
  </property>
  <property fmtid="{D5CDD505-2E9C-101B-9397-08002B2CF9AE}" pid="7" name="MSIP_Label_ac52bb50-aef2-4dc8-bb7f-e0da22648362_ActionId">
    <vt:lpwstr>6c7a51bb-fb3c-4d3f-b7eb-dd674f376679</vt:lpwstr>
  </property>
  <property fmtid="{D5CDD505-2E9C-101B-9397-08002B2CF9AE}" pid="8" name="MSIP_Label_ac52bb50-aef2-4dc8-bb7f-e0da22648362_ContentBits">
    <vt:lpwstr>2</vt:lpwstr>
  </property>
  <property fmtid="{D5CDD505-2E9C-101B-9397-08002B2CF9AE}" pid="9" name="ContentTypeId">
    <vt:lpwstr>0x010100B7F4CBD91CC3DE4BA9E10FCB396F3087</vt:lpwstr>
  </property>
</Properties>
</file>